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d.docs.live.net/ccfe196f9af868cd/デスクトップ/claude-soumu/"/>
    </mc:Choice>
  </mc:AlternateContent>
  <xr:revisionPtr revIDLastSave="1" documentId="13_ncr:1_{A0A092EC-0061-4169-8C3A-09AA29B1CD5D}" xr6:coauthVersionLast="47" xr6:coauthVersionMax="47" xr10:uidLastSave="{5EEBD14A-036D-4C49-A462-25CA262378A7}"/>
  <bookViews>
    <workbookView xWindow="-103" yWindow="-103" windowWidth="22149" windowHeight="13200" activeTab="2" xr2:uid="{0F683287-AAC6-4D60-8657-ECA4DB9B3FCE}"/>
  </bookViews>
  <sheets>
    <sheet name="商品一覧" sheetId="3" r:id="rId1"/>
    <sheet name="持出明細表" sheetId="1" r:id="rId2"/>
    <sheet name="在庫チェック表(発注担当者用)" sheetId="2" r:id="rId3"/>
    <sheet name="稟議書" sheetId="5" r:id="rId4"/>
  </sheets>
  <definedNames>
    <definedName name="_xlnm._FilterDatabase" localSheetId="2">'在庫チェック表(発注担当者用)'!$B$2:$K$77</definedName>
    <definedName name="_xlnm._FilterDatabase" localSheetId="1" hidden="1">持出明細表!$B$4:$I$27</definedName>
    <definedName name="_xlnm.Print_Area" localSheetId="2">'在庫チェック表(発注担当者用)'!$B$2:$K$69</definedName>
    <definedName name="_xlnm.Print_Area" localSheetId="3">稟議書!$A$1:$K$24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 l="1"/>
  <c r="F7" i="5"/>
  <c r="F8" i="5"/>
  <c r="F9" i="5"/>
  <c r="F10" i="5"/>
  <c r="F11" i="5"/>
  <c r="F12" i="5"/>
  <c r="F13" i="5"/>
  <c r="F14" i="5"/>
  <c r="F15" i="5"/>
  <c r="F16" i="5"/>
  <c r="F17" i="5"/>
  <c r="F18" i="5"/>
  <c r="F19" i="5"/>
  <c r="F20" i="5"/>
  <c r="F21" i="5"/>
  <c r="F22" i="5"/>
  <c r="F23" i="5"/>
  <c r="F24" i="5"/>
  <c r="F5" i="5"/>
  <c r="D5" i="1" l="1"/>
  <c r="D6" i="1"/>
  <c r="D7" i="1"/>
  <c r="D8" i="1"/>
  <c r="D9" i="1"/>
  <c r="D10" i="1"/>
  <c r="D11" i="1"/>
  <c r="D12" i="1"/>
  <c r="D13" i="1"/>
  <c r="D14" i="1"/>
  <c r="D15" i="1"/>
  <c r="D16" i="1"/>
  <c r="D17" i="1"/>
  <c r="D18" i="1"/>
  <c r="D19" i="1"/>
  <c r="D20" i="1"/>
  <c r="D21" i="1"/>
  <c r="D22" i="1"/>
  <c r="D23" i="1"/>
  <c r="D24" i="1"/>
  <c r="D25" i="1"/>
  <c r="D26" i="1"/>
  <c r="D27" i="1"/>
  <c r="D28" i="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3" i="2"/>
  <c r="G71" i="2"/>
  <c r="G72" i="2"/>
  <c r="G73" i="2"/>
  <c r="G74" i="2"/>
  <c r="G75" i="2"/>
  <c r="G76" i="2"/>
  <c r="G77" i="2"/>
  <c r="G70" i="2"/>
  <c r="I66" i="2" l="1"/>
  <c r="I44" i="2"/>
  <c r="I69" i="2"/>
  <c r="I65" i="2"/>
  <c r="I52" i="2"/>
  <c r="I62" i="2"/>
  <c r="I3" i="2"/>
  <c r="I31" i="2"/>
  <c r="I17" i="2"/>
  <c r="I22" i="2"/>
  <c r="H63" i="2"/>
  <c r="I8" i="2" l="1"/>
  <c r="H70" i="2"/>
  <c r="I11" i="2"/>
  <c r="H23" i="2"/>
  <c r="I16" i="2"/>
  <c r="I25" i="2"/>
  <c r="I20" i="2"/>
  <c r="H31" i="2"/>
  <c r="F31" i="2" s="1"/>
  <c r="G31" i="2" s="1"/>
  <c r="I58" i="2"/>
  <c r="I24" i="2"/>
  <c r="H67" i="2"/>
  <c r="I21" i="2"/>
  <c r="I14" i="2"/>
  <c r="H4" i="2"/>
  <c r="I34" i="2"/>
  <c r="I5" i="2"/>
  <c r="I57" i="2"/>
  <c r="I56" i="2"/>
  <c r="I43" i="2"/>
  <c r="I74" i="2"/>
  <c r="H75" i="2"/>
  <c r="H35" i="2"/>
  <c r="I75" i="2"/>
  <c r="I38" i="2"/>
  <c r="I15" i="2"/>
  <c r="H22" i="2"/>
  <c r="F22" i="2" s="1"/>
  <c r="G22" i="2" s="1"/>
  <c r="H66" i="2"/>
  <c r="F66" i="2" s="1"/>
  <c r="G66" i="2" s="1"/>
  <c r="H68" i="2"/>
  <c r="H45" i="2"/>
  <c r="H26" i="2"/>
  <c r="H25" i="2"/>
  <c r="I47" i="2"/>
  <c r="I76" i="2"/>
  <c r="H14" i="2"/>
  <c r="I68" i="2"/>
  <c r="I54" i="2"/>
  <c r="I50" i="2"/>
  <c r="I72" i="2"/>
  <c r="H21" i="2"/>
  <c r="H38" i="2"/>
  <c r="I73" i="2"/>
  <c r="H76" i="2"/>
  <c r="I61" i="2"/>
  <c r="H37" i="2"/>
  <c r="H11" i="2"/>
  <c r="I9" i="2"/>
  <c r="I71" i="2"/>
  <c r="H16" i="2"/>
  <c r="F16" i="2" s="1"/>
  <c r="G16" i="2" s="1"/>
  <c r="I53" i="2"/>
  <c r="H28" i="2"/>
  <c r="I30" i="2"/>
  <c r="I49" i="2"/>
  <c r="I55" i="2"/>
  <c r="H15" i="2"/>
  <c r="H17" i="2"/>
  <c r="F17" i="2" s="1"/>
  <c r="G17" i="2" s="1"/>
  <c r="H57" i="2"/>
  <c r="H7" i="2"/>
  <c r="H36" i="2"/>
  <c r="H56" i="2"/>
  <c r="H32" i="2"/>
  <c r="I33" i="2"/>
  <c r="I42" i="2"/>
  <c r="I27" i="2"/>
  <c r="I32" i="2"/>
  <c r="I36" i="2"/>
  <c r="H47" i="2"/>
  <c r="I41" i="2"/>
  <c r="H33" i="2"/>
  <c r="H12" i="2"/>
  <c r="H73" i="2"/>
  <c r="I59" i="2"/>
  <c r="I70" i="2"/>
  <c r="F70" i="2" s="1"/>
  <c r="I28" i="2"/>
  <c r="I29" i="2"/>
  <c r="H58" i="2"/>
  <c r="H44" i="2"/>
  <c r="F44" i="2" s="1"/>
  <c r="G44" i="2" s="1"/>
  <c r="H9" i="2"/>
  <c r="H39" i="2"/>
  <c r="H59" i="2"/>
  <c r="H18" i="2"/>
  <c r="H43" i="2"/>
  <c r="I48" i="2"/>
  <c r="H62" i="2"/>
  <c r="F62" i="2" s="1"/>
  <c r="G62" i="2" s="1"/>
  <c r="H42" i="2"/>
  <c r="H8" i="2"/>
  <c r="F8" i="2" s="1"/>
  <c r="G8" i="2" s="1"/>
  <c r="H51" i="2"/>
  <c r="H41" i="2"/>
  <c r="H53" i="2"/>
  <c r="H48" i="2"/>
  <c r="H50" i="2"/>
  <c r="H24" i="2"/>
  <c r="H52" i="2"/>
  <c r="F52" i="2" s="1"/>
  <c r="G52" i="2" s="1"/>
  <c r="I64" i="2"/>
  <c r="H49" i="2"/>
  <c r="I18" i="2"/>
  <c r="I19" i="2"/>
  <c r="H74" i="2"/>
  <c r="I13" i="2"/>
  <c r="I6" i="2"/>
  <c r="H60" i="2"/>
  <c r="I39" i="2"/>
  <c r="I40" i="2"/>
  <c r="I10" i="2"/>
  <c r="H55" i="2"/>
  <c r="I12" i="2"/>
  <c r="H29" i="2"/>
  <c r="I26" i="2"/>
  <c r="I7" i="2"/>
  <c r="I51" i="2"/>
  <c r="H72" i="2"/>
  <c r="I4" i="2"/>
  <c r="I63" i="2"/>
  <c r="F63" i="2" s="1"/>
  <c r="G63" i="2" s="1"/>
  <c r="H20" i="2"/>
  <c r="H65" i="2"/>
  <c r="F65" i="2" s="1"/>
  <c r="G65" i="2" s="1"/>
  <c r="H34" i="2"/>
  <c r="H30" i="2"/>
  <c r="H46" i="2"/>
  <c r="H6" i="2"/>
  <c r="H77" i="2"/>
  <c r="H19" i="2"/>
  <c r="I67" i="2"/>
  <c r="H61" i="2"/>
  <c r="I35" i="2"/>
  <c r="H64" i="2"/>
  <c r="H10" i="2"/>
  <c r="H54" i="2"/>
  <c r="I77" i="2"/>
  <c r="H69" i="2"/>
  <c r="F69" i="2" s="1"/>
  <c r="G69" i="2" s="1"/>
  <c r="H13" i="2"/>
  <c r="H5" i="2"/>
  <c r="I23" i="2"/>
  <c r="I60" i="2"/>
  <c r="I37" i="2"/>
  <c r="I46" i="2"/>
  <c r="H27" i="2"/>
  <c r="H40" i="2"/>
  <c r="H3" i="2"/>
  <c r="F3" i="2" s="1"/>
  <c r="G3" i="2" s="1"/>
  <c r="H71" i="2"/>
  <c r="I45" i="2"/>
  <c r="F72" i="2" l="1"/>
  <c r="F4" i="2"/>
  <c r="G4" i="2" s="1"/>
  <c r="F20" i="2"/>
  <c r="G20" i="2" s="1"/>
  <c r="F23" i="2"/>
  <c r="G23" i="2" s="1"/>
  <c r="F5" i="2"/>
  <c r="G5" i="2" s="1"/>
  <c r="F25" i="2"/>
  <c r="G25" i="2" s="1"/>
  <c r="F58" i="2"/>
  <c r="G58" i="2" s="1"/>
  <c r="F56" i="2"/>
  <c r="G56" i="2" s="1"/>
  <c r="F43" i="2"/>
  <c r="G43" i="2" s="1"/>
  <c r="F61" i="2"/>
  <c r="G61" i="2" s="1"/>
  <c r="F74" i="2"/>
  <c r="F34" i="2"/>
  <c r="G34" i="2" s="1"/>
  <c r="F57" i="2"/>
  <c r="G57" i="2" s="1"/>
  <c r="F14" i="2"/>
  <c r="G14" i="2" s="1"/>
  <c r="F24" i="2"/>
  <c r="G24" i="2" s="1"/>
  <c r="F73" i="2"/>
  <c r="F50" i="2"/>
  <c r="G50" i="2" s="1"/>
  <c r="F19" i="2"/>
  <c r="G19" i="2" s="1"/>
  <c r="F54" i="2"/>
  <c r="G54" i="2" s="1"/>
  <c r="F15" i="2"/>
  <c r="G15" i="2" s="1"/>
  <c r="F11" i="2"/>
  <c r="G11" i="2" s="1"/>
  <c r="F27" i="2"/>
  <c r="G27" i="2" s="1"/>
  <c r="F71" i="2"/>
  <c r="F67" i="2"/>
  <c r="G67" i="2" s="1"/>
  <c r="F49" i="2"/>
  <c r="G49" i="2" s="1"/>
  <c r="F53" i="2"/>
  <c r="G53" i="2" s="1"/>
  <c r="F55" i="2"/>
  <c r="G55" i="2" s="1"/>
  <c r="F40" i="2"/>
  <c r="G40" i="2" s="1"/>
  <c r="F30" i="2"/>
  <c r="G30" i="2" s="1"/>
  <c r="F9" i="2"/>
  <c r="G9" i="2" s="1"/>
  <c r="F42" i="2"/>
  <c r="G42" i="2" s="1"/>
  <c r="F29" i="2"/>
  <c r="G29" i="2" s="1"/>
  <c r="F13" i="2"/>
  <c r="G13" i="2" s="1"/>
  <c r="F6" i="2"/>
  <c r="G6" i="2" s="1"/>
  <c r="F47" i="2"/>
  <c r="G47" i="2" s="1"/>
  <c r="F38" i="2"/>
  <c r="G38" i="2" s="1"/>
  <c r="F21" i="2"/>
  <c r="G21" i="2" s="1"/>
  <c r="F10" i="2"/>
  <c r="G10" i="2" s="1"/>
  <c r="F64" i="2"/>
  <c r="G64" i="2" s="1"/>
  <c r="F41" i="2"/>
  <c r="G41" i="2" s="1"/>
  <c r="F75" i="2"/>
  <c r="F76" i="2"/>
  <c r="F48" i="2"/>
  <c r="G48" i="2" s="1"/>
  <c r="F32" i="2"/>
  <c r="G32" i="2" s="1"/>
  <c r="F77" i="2"/>
  <c r="F51" i="2"/>
  <c r="G51" i="2" s="1"/>
  <c r="F28" i="2"/>
  <c r="G28" i="2" s="1"/>
  <c r="F36" i="2"/>
  <c r="G36" i="2" s="1"/>
  <c r="F35" i="2"/>
  <c r="G35" i="2" s="1"/>
  <c r="F46" i="2"/>
  <c r="G46" i="2" s="1"/>
  <c r="F12" i="2"/>
  <c r="G12" i="2" s="1"/>
  <c r="F7" i="2"/>
  <c r="G7" i="2" s="1"/>
  <c r="F18" i="2"/>
  <c r="G18" i="2" s="1"/>
  <c r="F33" i="2"/>
  <c r="G33" i="2" s="1"/>
  <c r="F37" i="2"/>
  <c r="G37" i="2" s="1"/>
  <c r="F59" i="2"/>
  <c r="G59" i="2" s="1"/>
  <c r="F39" i="2"/>
  <c r="G39" i="2" s="1"/>
  <c r="F26" i="2"/>
  <c r="G26" i="2" s="1"/>
  <c r="F45" i="2"/>
  <c r="G45" i="2" s="1"/>
  <c r="F60" i="2"/>
  <c r="G60" i="2" s="1"/>
  <c r="F68" i="2"/>
  <c r="G6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soumu03</author>
  </authors>
  <commentList>
    <comment ref="D4" authorId="0" shapeId="0" xr:uid="{E1FD855B-6EC7-43F1-830F-128A2F199DEA}">
      <text>
        <r>
          <rPr>
            <b/>
            <sz val="9"/>
            <color indexed="81"/>
            <rFont val="MS P ゴシック"/>
            <family val="3"/>
            <charset val="128"/>
          </rPr>
          <t>soumu03:</t>
        </r>
        <r>
          <rPr>
            <sz val="9"/>
            <color indexed="81"/>
            <rFont val="MS P ゴシック"/>
            <family val="3"/>
            <charset val="128"/>
          </rPr>
          <t xml:space="preserve">
現在(仮)
注文番号</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soumu03</author>
  </authors>
  <commentList>
    <comment ref="C2" authorId="0" shapeId="0" xr:uid="{B216F73D-BCFE-4238-9B71-3C4C391089AE}">
      <text>
        <r>
          <rPr>
            <b/>
            <sz val="9"/>
            <color indexed="81"/>
            <rFont val="MS P ゴシック"/>
            <family val="3"/>
            <charset val="128"/>
          </rPr>
          <t>soumu03:</t>
        </r>
        <r>
          <rPr>
            <sz val="9"/>
            <color indexed="81"/>
            <rFont val="MS P ゴシック"/>
            <family val="3"/>
            <charset val="128"/>
          </rPr>
          <t xml:space="preserve">
追々、商品コードを入力する</t>
        </r>
      </text>
    </comment>
    <comment ref="G2" authorId="0" shapeId="0" xr:uid="{2E8922AD-336E-4B28-A000-514BD35EB98C}">
      <text>
        <r>
          <rPr>
            <sz val="9"/>
            <color indexed="81"/>
            <rFont val="MS P ゴシック"/>
            <family val="3"/>
            <charset val="128"/>
          </rPr>
          <t>soumu03:
発注基準数以下になった場合
「発注して下さい」と表示されます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LENOVO-E</author>
  </authors>
  <commentList>
    <comment ref="G5" authorId="0" shapeId="0" xr:uid="{3388FA58-14AC-4A6E-9228-5926DCEE5CE5}">
      <text>
        <r>
          <rPr>
            <b/>
            <sz val="9"/>
            <color indexed="81"/>
            <rFont val="MS P ゴシック"/>
            <family val="3"/>
            <charset val="128"/>
          </rPr>
          <t>LENOVO-E:</t>
        </r>
        <r>
          <rPr>
            <sz val="9"/>
            <color indexed="81"/>
            <rFont val="MS P ゴシック"/>
            <family val="3"/>
            <charset val="128"/>
          </rPr>
          <t xml:space="preserve">
新規であれば神機建材と出るように？
</t>
        </r>
      </text>
    </comment>
  </commentList>
</comments>
</file>

<file path=xl/sharedStrings.xml><?xml version="1.0" encoding="utf-8"?>
<sst xmlns="http://schemas.openxmlformats.org/spreadsheetml/2006/main" count="166" uniqueCount="123">
  <si>
    <t>年</t>
    <rPh sb="0" eb="1">
      <t>ネン</t>
    </rPh>
    <phoneticPr fontId="1"/>
  </si>
  <si>
    <t>月日</t>
    <rPh sb="0" eb="2">
      <t>ガッピ</t>
    </rPh>
    <phoneticPr fontId="1"/>
  </si>
  <si>
    <t>コード</t>
    <phoneticPr fontId="1"/>
  </si>
  <si>
    <t>商品名</t>
    <rPh sb="0" eb="3">
      <t>ショウヒンメイ</t>
    </rPh>
    <phoneticPr fontId="1"/>
  </si>
  <si>
    <t>仕入</t>
    <rPh sb="0" eb="2">
      <t>シイレ</t>
    </rPh>
    <phoneticPr fontId="1"/>
  </si>
  <si>
    <t>使用</t>
    <rPh sb="0" eb="2">
      <t>シヨウ</t>
    </rPh>
    <phoneticPr fontId="1"/>
  </si>
  <si>
    <t>使用者</t>
    <rPh sb="0" eb="2">
      <t>シヨウ</t>
    </rPh>
    <rPh sb="2" eb="3">
      <t>シャ</t>
    </rPh>
    <phoneticPr fontId="1"/>
  </si>
  <si>
    <t>備考</t>
    <rPh sb="0" eb="2">
      <t>ビコウ</t>
    </rPh>
    <phoneticPr fontId="1"/>
  </si>
  <si>
    <t>在庫マスタ</t>
    <rPh sb="0" eb="2">
      <t>ザイコ</t>
    </rPh>
    <phoneticPr fontId="1"/>
  </si>
  <si>
    <t>NO</t>
    <phoneticPr fontId="1"/>
  </si>
  <si>
    <t>発注判断</t>
    <rPh sb="0" eb="2">
      <t>ハッチュウ</t>
    </rPh>
    <rPh sb="2" eb="4">
      <t>ハンダン</t>
    </rPh>
    <phoneticPr fontId="1"/>
  </si>
  <si>
    <t>発注       基準数</t>
    <rPh sb="0" eb="2">
      <t>ハッチュウ</t>
    </rPh>
    <rPh sb="9" eb="11">
      <t>キジュン</t>
    </rPh>
    <rPh sb="11" eb="12">
      <t>スウ</t>
    </rPh>
    <phoneticPr fontId="1"/>
  </si>
  <si>
    <t>A4-S　グレー</t>
    <phoneticPr fontId="1"/>
  </si>
  <si>
    <t>A4-S厚とじ　グレー</t>
    <rPh sb="4" eb="5">
      <t>アツ</t>
    </rPh>
    <phoneticPr fontId="1"/>
  </si>
  <si>
    <t>A4-S　ブルー</t>
    <phoneticPr fontId="1"/>
  </si>
  <si>
    <t>R3.2月まで在庫管理なし</t>
    <rPh sb="4" eb="5">
      <t>ガツ</t>
    </rPh>
    <rPh sb="7" eb="9">
      <t>ザイコ</t>
    </rPh>
    <rPh sb="9" eb="11">
      <t>カンリ</t>
    </rPh>
    <phoneticPr fontId="1"/>
  </si>
  <si>
    <t>A4-S　ピンク</t>
    <phoneticPr fontId="1"/>
  </si>
  <si>
    <t>A4-S　イエロー</t>
    <phoneticPr fontId="1"/>
  </si>
  <si>
    <t>A4-S　ロイヤルブルー</t>
    <phoneticPr fontId="1"/>
  </si>
  <si>
    <t>A4-S　バイオレット</t>
    <phoneticPr fontId="1"/>
  </si>
  <si>
    <t>A4-S　グリーン</t>
    <phoneticPr fontId="1"/>
  </si>
  <si>
    <t>A4-E　グレー</t>
    <phoneticPr fontId="1"/>
  </si>
  <si>
    <t>A4-E　ブルー</t>
    <phoneticPr fontId="1"/>
  </si>
  <si>
    <t>A4-Eイエローグリーン</t>
    <phoneticPr fontId="1"/>
  </si>
  <si>
    <t>A4-E厚とじ　イエロー</t>
    <rPh sb="4" eb="5">
      <t>アツ</t>
    </rPh>
    <phoneticPr fontId="1"/>
  </si>
  <si>
    <t>A4-E厚とじ　イエローグリーン</t>
    <rPh sb="4" eb="5">
      <t>アツ</t>
    </rPh>
    <phoneticPr fontId="1"/>
  </si>
  <si>
    <t>A4-E厚とじ　グレー</t>
    <rPh sb="4" eb="5">
      <t>アツ</t>
    </rPh>
    <phoneticPr fontId="1"/>
  </si>
  <si>
    <t>A4-Sのび～る</t>
    <phoneticPr fontId="1"/>
  </si>
  <si>
    <t>A4-Eのび～る</t>
    <phoneticPr fontId="1"/>
  </si>
  <si>
    <t>B5-S　グレー</t>
    <phoneticPr fontId="1"/>
  </si>
  <si>
    <t>B5-S厚とじ　ブルー</t>
    <rPh sb="4" eb="5">
      <t>アツシ</t>
    </rPh>
    <phoneticPr fontId="1"/>
  </si>
  <si>
    <t>B5-E　グレー</t>
    <phoneticPr fontId="1"/>
  </si>
  <si>
    <t>B5-E　ブルー</t>
    <phoneticPr fontId="1"/>
  </si>
  <si>
    <t>B5-E　イエローグリーン</t>
    <phoneticPr fontId="1"/>
  </si>
  <si>
    <t>B4-S　グレー</t>
    <phoneticPr fontId="1"/>
  </si>
  <si>
    <t>B4-S　ブルー</t>
    <phoneticPr fontId="1"/>
  </si>
  <si>
    <t>B4-E　グレー</t>
    <phoneticPr fontId="1"/>
  </si>
  <si>
    <t>B4-E　ロイヤルブルー</t>
    <phoneticPr fontId="1"/>
  </si>
  <si>
    <t>B6-E　ガバットファイル　グレー</t>
    <phoneticPr fontId="1"/>
  </si>
  <si>
    <t>A3-S　グレー</t>
    <phoneticPr fontId="1"/>
  </si>
  <si>
    <t>A3-E　グレー</t>
    <phoneticPr fontId="1"/>
  </si>
  <si>
    <t>A5-E　グレー</t>
    <phoneticPr fontId="1"/>
  </si>
  <si>
    <t>電池　単1</t>
    <rPh sb="0" eb="2">
      <t>デンチ</t>
    </rPh>
    <rPh sb="3" eb="4">
      <t>タン</t>
    </rPh>
    <phoneticPr fontId="1"/>
  </si>
  <si>
    <t>電池　単2</t>
    <rPh sb="0" eb="2">
      <t>デンチ</t>
    </rPh>
    <rPh sb="3" eb="4">
      <t>タン</t>
    </rPh>
    <phoneticPr fontId="1"/>
  </si>
  <si>
    <t>電池　単3</t>
    <rPh sb="0" eb="2">
      <t>デンチ</t>
    </rPh>
    <rPh sb="3" eb="4">
      <t>タン</t>
    </rPh>
    <phoneticPr fontId="1"/>
  </si>
  <si>
    <t>電池　単4</t>
    <rPh sb="0" eb="2">
      <t>デンチ</t>
    </rPh>
    <rPh sb="3" eb="4">
      <t>タン</t>
    </rPh>
    <phoneticPr fontId="1"/>
  </si>
  <si>
    <t>油性ボールペン　黒</t>
    <rPh sb="0" eb="2">
      <t>ユセイ</t>
    </rPh>
    <rPh sb="8" eb="9">
      <t>クロ</t>
    </rPh>
    <phoneticPr fontId="1"/>
  </si>
  <si>
    <t>油性ボールペン　赤</t>
    <rPh sb="0" eb="2">
      <t>ユセイ</t>
    </rPh>
    <rPh sb="8" eb="9">
      <t>アカ</t>
    </rPh>
    <phoneticPr fontId="1"/>
  </si>
  <si>
    <t>油性ボールペン　青</t>
    <rPh sb="0" eb="2">
      <t>ユセイ</t>
    </rPh>
    <rPh sb="8" eb="9">
      <t>アオ</t>
    </rPh>
    <phoneticPr fontId="1"/>
  </si>
  <si>
    <t>マッキー極細　黒</t>
    <rPh sb="4" eb="6">
      <t>ゴクボソ</t>
    </rPh>
    <rPh sb="7" eb="8">
      <t>クロ</t>
    </rPh>
    <phoneticPr fontId="1"/>
  </si>
  <si>
    <t>マッキー極細　赤</t>
    <rPh sb="4" eb="6">
      <t>ゴクボソ</t>
    </rPh>
    <rPh sb="7" eb="8">
      <t>アカ</t>
    </rPh>
    <phoneticPr fontId="1"/>
  </si>
  <si>
    <t>マッキー　黒</t>
    <rPh sb="5" eb="6">
      <t>クロ</t>
    </rPh>
    <phoneticPr fontId="1"/>
  </si>
  <si>
    <t>マッキー　赤</t>
    <rPh sb="5" eb="6">
      <t>アカ</t>
    </rPh>
    <phoneticPr fontId="1"/>
  </si>
  <si>
    <t>サインペン　黒</t>
    <rPh sb="6" eb="7">
      <t>クロ</t>
    </rPh>
    <phoneticPr fontId="1"/>
  </si>
  <si>
    <t>サインペン　赤</t>
    <rPh sb="6" eb="7">
      <t>アカ</t>
    </rPh>
    <phoneticPr fontId="1"/>
  </si>
  <si>
    <t>蛍光ペン　ピンク</t>
    <rPh sb="0" eb="2">
      <t>ケイコウ</t>
    </rPh>
    <phoneticPr fontId="1"/>
  </si>
  <si>
    <t>蛍光ペン　イエロー</t>
    <rPh sb="0" eb="2">
      <t>ケイコウ</t>
    </rPh>
    <phoneticPr fontId="1"/>
  </si>
  <si>
    <t>蛍光ペン　オレンジ</t>
    <rPh sb="0" eb="2">
      <t>ケイコウ</t>
    </rPh>
    <phoneticPr fontId="1"/>
  </si>
  <si>
    <t>蛍光ペン　ブルー</t>
    <rPh sb="0" eb="2">
      <t>ケイコウ</t>
    </rPh>
    <phoneticPr fontId="1"/>
  </si>
  <si>
    <t>蛍光ペン　グリーン</t>
    <rPh sb="0" eb="2">
      <t>ケイコウ</t>
    </rPh>
    <phoneticPr fontId="1"/>
  </si>
  <si>
    <t>蛍光ペン　紫</t>
    <rPh sb="0" eb="2">
      <t>ケイコウ</t>
    </rPh>
    <rPh sb="5" eb="6">
      <t>ムラサキ</t>
    </rPh>
    <phoneticPr fontId="1"/>
  </si>
  <si>
    <t>水性ボールペン　黒</t>
    <rPh sb="0" eb="2">
      <t>スイセイ</t>
    </rPh>
    <rPh sb="8" eb="9">
      <t>クロ</t>
    </rPh>
    <phoneticPr fontId="1"/>
  </si>
  <si>
    <t>水性ボールペン　赤</t>
    <rPh sb="0" eb="2">
      <t>スイセイ</t>
    </rPh>
    <rPh sb="8" eb="9">
      <t>アカ</t>
    </rPh>
    <phoneticPr fontId="1"/>
  </si>
  <si>
    <t>水性ボールペン　青</t>
    <rPh sb="0" eb="2">
      <t>スイセイ</t>
    </rPh>
    <rPh sb="8" eb="9">
      <t>アオ</t>
    </rPh>
    <phoneticPr fontId="1"/>
  </si>
  <si>
    <t>水性ボールペン　緑</t>
    <rPh sb="0" eb="2">
      <t>スイセイ</t>
    </rPh>
    <rPh sb="8" eb="9">
      <t>ミドリ</t>
    </rPh>
    <phoneticPr fontId="1"/>
  </si>
  <si>
    <t>水性ボールペン　水色</t>
    <rPh sb="0" eb="2">
      <t>スイセイ</t>
    </rPh>
    <rPh sb="8" eb="10">
      <t>ミズイロ</t>
    </rPh>
    <phoneticPr fontId="1"/>
  </si>
  <si>
    <t>水性ボールペン　ピンク</t>
    <rPh sb="0" eb="2">
      <t>スイセイ</t>
    </rPh>
    <phoneticPr fontId="1"/>
  </si>
  <si>
    <t>水性ボールペン　オレンジ</t>
    <rPh sb="0" eb="2">
      <t>スイセイ</t>
    </rPh>
    <phoneticPr fontId="1"/>
  </si>
  <si>
    <t>シャープペン</t>
    <phoneticPr fontId="1"/>
  </si>
  <si>
    <t>黒鉛筆</t>
    <rPh sb="0" eb="1">
      <t>クロ</t>
    </rPh>
    <rPh sb="1" eb="3">
      <t>エンピツ</t>
    </rPh>
    <phoneticPr fontId="1"/>
  </si>
  <si>
    <t>赤鉛筆</t>
    <rPh sb="0" eb="1">
      <t>アカ</t>
    </rPh>
    <rPh sb="1" eb="3">
      <t>エンピツ</t>
    </rPh>
    <phoneticPr fontId="1"/>
  </si>
  <si>
    <t>青鉛筆</t>
    <rPh sb="0" eb="1">
      <t>アオ</t>
    </rPh>
    <rPh sb="1" eb="3">
      <t>エンピツ</t>
    </rPh>
    <phoneticPr fontId="1"/>
  </si>
  <si>
    <t>黄緑鉛筆</t>
    <rPh sb="0" eb="2">
      <t>キミドリ</t>
    </rPh>
    <rPh sb="2" eb="4">
      <t>エンピツ</t>
    </rPh>
    <phoneticPr fontId="1"/>
  </si>
  <si>
    <t>薄橙鉛筆</t>
    <rPh sb="0" eb="2">
      <t>ウスダイダイ</t>
    </rPh>
    <rPh sb="2" eb="4">
      <t>エンピツ</t>
    </rPh>
    <phoneticPr fontId="1"/>
  </si>
  <si>
    <t>水色鉛筆</t>
    <rPh sb="0" eb="2">
      <t>ミズイロ</t>
    </rPh>
    <rPh sb="2" eb="4">
      <t>エンピツ</t>
    </rPh>
    <phoneticPr fontId="1"/>
  </si>
  <si>
    <t>のり　大</t>
    <rPh sb="3" eb="4">
      <t>ダイ</t>
    </rPh>
    <phoneticPr fontId="1"/>
  </si>
  <si>
    <t>のり　小</t>
    <rPh sb="3" eb="4">
      <t>ショウ</t>
    </rPh>
    <phoneticPr fontId="1"/>
  </si>
  <si>
    <t>消しゴム</t>
    <rPh sb="0" eb="1">
      <t>ケ</t>
    </rPh>
    <phoneticPr fontId="1"/>
  </si>
  <si>
    <t>修正テープカートリッジ</t>
    <rPh sb="0" eb="2">
      <t>シュウセイ</t>
    </rPh>
    <phoneticPr fontId="1"/>
  </si>
  <si>
    <t>修正ペン</t>
    <rPh sb="0" eb="2">
      <t>シュウセイ</t>
    </rPh>
    <phoneticPr fontId="1"/>
  </si>
  <si>
    <t>塗つぶしセルは自動入力</t>
    <phoneticPr fontId="1"/>
  </si>
  <si>
    <t>発注担当者用シート</t>
    <rPh sb="0" eb="2">
      <t>ハッチュウ</t>
    </rPh>
    <rPh sb="2" eb="5">
      <t>タントウシャ</t>
    </rPh>
    <rPh sb="5" eb="6">
      <t>ヨウ</t>
    </rPh>
    <phoneticPr fontId="1"/>
  </si>
  <si>
    <t>残</t>
    <rPh sb="0" eb="1">
      <t>ザン</t>
    </rPh>
    <phoneticPr fontId="1"/>
  </si>
  <si>
    <t>木畑</t>
    <rPh sb="0" eb="2">
      <t>キバタ</t>
    </rPh>
    <phoneticPr fontId="1"/>
  </si>
  <si>
    <t>↓プルダウンから選択</t>
    <rPh sb="8" eb="10">
      <t>センタク</t>
    </rPh>
    <phoneticPr fontId="1"/>
  </si>
  <si>
    <t>事務用品持出明細表</t>
    <rPh sb="0" eb="2">
      <t>ジム</t>
    </rPh>
    <rPh sb="2" eb="4">
      <t>ヨウヒン</t>
    </rPh>
    <rPh sb="4" eb="6">
      <t>モチダシ</t>
    </rPh>
    <rPh sb="6" eb="9">
      <t>メイサイヒョウ</t>
    </rPh>
    <phoneticPr fontId="1"/>
  </si>
  <si>
    <t>村田</t>
    <rPh sb="0" eb="2">
      <t>ムラタ</t>
    </rPh>
    <phoneticPr fontId="1"/>
  </si>
  <si>
    <t>A4-Sのび～る</t>
  </si>
  <si>
    <t>A4-S　グレー</t>
  </si>
  <si>
    <t>木畑</t>
    <rPh sb="0" eb="2">
      <t>キバタ</t>
    </rPh>
    <phoneticPr fontId="1"/>
  </si>
  <si>
    <t>濱岡</t>
    <rPh sb="0" eb="2">
      <t>ハマオカ</t>
    </rPh>
    <phoneticPr fontId="1"/>
  </si>
  <si>
    <t>※管理したい項目を増やしたい時は有賀さんに声かける！</t>
    <rPh sb="1" eb="3">
      <t>カンリ</t>
    </rPh>
    <rPh sb="6" eb="8">
      <t>コウモク</t>
    </rPh>
    <rPh sb="9" eb="10">
      <t>フ</t>
    </rPh>
    <rPh sb="14" eb="15">
      <t>トキ</t>
    </rPh>
    <rPh sb="16" eb="18">
      <t>アリガ</t>
    </rPh>
    <rPh sb="21" eb="22">
      <t>コエ</t>
    </rPh>
    <phoneticPr fontId="1"/>
  </si>
  <si>
    <t>カラーインデックス　5山は注文不要。</t>
    <rPh sb="11" eb="12">
      <t>ヤマ</t>
    </rPh>
    <rPh sb="13" eb="15">
      <t>チュウモン</t>
    </rPh>
    <rPh sb="15" eb="17">
      <t>フヨウ</t>
    </rPh>
    <phoneticPr fontId="1"/>
  </si>
  <si>
    <t>正式名称</t>
    <rPh sb="0" eb="4">
      <t>セイシキメイショウ</t>
    </rPh>
    <phoneticPr fontId="1"/>
  </si>
  <si>
    <t>アスクル　オリジナルスティックのり　約22g　1箱（10本入） オリジナル</t>
  </si>
  <si>
    <t>アスクル　アルカリ乾電池　単3形　1箱（40本：４本×１０パック）</t>
    <phoneticPr fontId="1"/>
  </si>
  <si>
    <t>（復活感謝祭セール）ゲルインクボールペン サラサクリップ 0.5mm 青 10本 JJ15-BL ゼブラ</t>
    <phoneticPr fontId="1"/>
  </si>
  <si>
    <t>【復活特別価格】アスクル 蛍光ペン 蛍光マーカー シングルタイプ ピンク 1箱（10本入） オリジナル</t>
    <phoneticPr fontId="1"/>
  </si>
  <si>
    <t>【復活特別価格】アスクル 蛍光ペン 蛍光マーカー シングルタイプ イエロー 黄色 1箱（10本入） オリジナル</t>
  </si>
  <si>
    <t>【復活特別価格】アスクル 蛍光ペン 蛍光マーカー シングルタイプ ブルー 1箱（10本入） オリジナル</t>
  </si>
  <si>
    <t>プラス のび～るファイル A4S 10冊 AE-50F</t>
    <phoneticPr fontId="1"/>
  </si>
  <si>
    <t>プラス　フラットファイル　A4タテ　樹脂製とじ具　グレー　10冊</t>
    <phoneticPr fontId="1"/>
  </si>
  <si>
    <t>サイト</t>
    <phoneticPr fontId="1"/>
  </si>
  <si>
    <t>アスクル</t>
    <phoneticPr fontId="1"/>
  </si>
  <si>
    <t>事務用品・消耗品購入稟議書</t>
    <rPh sb="0" eb="2">
      <t>ジム</t>
    </rPh>
    <rPh sb="2" eb="4">
      <t>ヨウヒン</t>
    </rPh>
    <rPh sb="5" eb="7">
      <t>ショウモウ</t>
    </rPh>
    <rPh sb="7" eb="8">
      <t>ヒン</t>
    </rPh>
    <rPh sb="8" eb="10">
      <t>コウニュウ</t>
    </rPh>
    <rPh sb="10" eb="12">
      <t>リンギ</t>
    </rPh>
    <rPh sb="12" eb="13">
      <t>ショ</t>
    </rPh>
    <phoneticPr fontId="8"/>
  </si>
  <si>
    <t>注　文　日</t>
    <rPh sb="0" eb="1">
      <t>チュウ</t>
    </rPh>
    <rPh sb="2" eb="3">
      <t>ブン</t>
    </rPh>
    <rPh sb="4" eb="5">
      <t>ビ</t>
    </rPh>
    <phoneticPr fontId="8"/>
  </si>
  <si>
    <t>担当印</t>
    <rPh sb="0" eb="2">
      <t>タントウ</t>
    </rPh>
    <rPh sb="2" eb="3">
      <t>イン</t>
    </rPh>
    <phoneticPr fontId="8"/>
  </si>
  <si>
    <t>購入先</t>
    <rPh sb="0" eb="2">
      <t>コウニュウ</t>
    </rPh>
    <rPh sb="2" eb="3">
      <t>サキ</t>
    </rPh>
    <phoneticPr fontId="8"/>
  </si>
  <si>
    <t>商品名</t>
    <rPh sb="0" eb="3">
      <t>ショウヒンメイ</t>
    </rPh>
    <phoneticPr fontId="8"/>
  </si>
  <si>
    <t>個数</t>
    <rPh sb="0" eb="2">
      <t>コスウ</t>
    </rPh>
    <phoneticPr fontId="8"/>
  </si>
  <si>
    <t>単価</t>
    <rPh sb="0" eb="2">
      <t>タンカ</t>
    </rPh>
    <phoneticPr fontId="8"/>
  </si>
  <si>
    <t>金額</t>
    <rPh sb="0" eb="2">
      <t>キンガク</t>
    </rPh>
    <phoneticPr fontId="8"/>
  </si>
  <si>
    <t>依頼者</t>
    <rPh sb="0" eb="3">
      <t>イライシャ</t>
    </rPh>
    <phoneticPr fontId="8"/>
  </si>
  <si>
    <t>購入可否</t>
    <rPh sb="0" eb="2">
      <t>コウニュウ</t>
    </rPh>
    <rPh sb="2" eb="3">
      <t>カ</t>
    </rPh>
    <rPh sb="3" eb="4">
      <t>イナ</t>
    </rPh>
    <phoneticPr fontId="8"/>
  </si>
  <si>
    <t>印</t>
    <rPh sb="0" eb="1">
      <t>イン</t>
    </rPh>
    <phoneticPr fontId="8"/>
  </si>
  <si>
    <t>　　　年　　　月　　　日</t>
    <rPh sb="3" eb="4">
      <t>ネン</t>
    </rPh>
    <rPh sb="7" eb="8">
      <t>ガツ</t>
    </rPh>
    <rPh sb="11" eb="12">
      <t>ヒ</t>
    </rPh>
    <phoneticPr fontId="8"/>
  </si>
  <si>
    <t>使用目的</t>
    <rPh sb="0" eb="4">
      <t>シヨウモクテキ</t>
    </rPh>
    <phoneticPr fontId="1"/>
  </si>
  <si>
    <t>新規</t>
    <rPh sb="0" eb="2">
      <t>シンキ</t>
    </rPh>
    <phoneticPr fontId="1"/>
  </si>
  <si>
    <t>黄色部分の情報をとってきてほしい</t>
    <rPh sb="0" eb="4">
      <t>キイロブブン</t>
    </rPh>
    <rPh sb="5" eb="7">
      <t>ジョウホウ</t>
    </rPh>
    <phoneticPr fontId="1"/>
  </si>
  <si>
    <t>発注数</t>
    <rPh sb="0" eb="2">
      <t>ハッチュウ</t>
    </rPh>
    <rPh sb="2" eb="3">
      <t>スウ</t>
    </rPh>
    <phoneticPr fontId="1"/>
  </si>
  <si>
    <t>使用数</t>
    <rPh sb="0" eb="2">
      <t>シヨウ</t>
    </rPh>
    <rPh sb="2" eb="3">
      <t>スウ</t>
    </rPh>
    <phoneticPr fontId="1"/>
  </si>
  <si>
    <t>仕入数</t>
    <rPh sb="0" eb="2">
      <t>シイレ</t>
    </rPh>
    <rPh sb="2" eb="3">
      <t>スウ</t>
    </rPh>
    <phoneticPr fontId="1"/>
  </si>
  <si>
    <t>初期在庫</t>
    <rPh sb="0" eb="4">
      <t>ショキザイコ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</si>
</sst>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0_ "/>
    <numFmt numFmtId="177" formatCode="m/d;@"/>
  </numFmts>
  <fonts count="12">
    <font>
      <sz val="11"/>
      <name val="ＭＳ Ｐゴシック"/>
      <family val="3"/>
      <charset val="128"/>
    </font>
    <font>
      <sz val="6"/>
      <name val="ＭＳ Ｐゴシック"/>
      <family val="3"/>
      <charset val="128"/>
    </font>
    <font>
      <b/>
      <sz val="11"/>
      <name val="ＭＳ Ｐゴシック"/>
      <family val="3"/>
      <charset val="128"/>
    </font>
    <font>
      <b/>
      <sz val="11"/>
      <color rgb="FFFF0000"/>
      <name val="ＭＳ Ｐゴシック"/>
      <family val="3"/>
      <charset val="128"/>
    </font>
    <font>
      <sz val="9"/>
      <color indexed="81"/>
      <name val="MS P ゴシック"/>
      <family val="3"/>
      <charset val="128"/>
    </font>
    <font>
      <b/>
      <sz val="9"/>
      <color indexed="81"/>
      <name val="MS P ゴシック"/>
      <family val="3"/>
      <charset val="128"/>
    </font>
    <font>
      <b/>
      <sz val="10"/>
      <color rgb="FFFF0000"/>
      <name val="ＭＳ Ｐゴシック"/>
      <family val="3"/>
      <charset val="128"/>
    </font>
    <font>
      <sz val="16"/>
      <name val="ＭＳ Ｐ明朝"/>
      <family val="1"/>
      <charset val="128"/>
    </font>
    <font>
      <sz val="6"/>
      <name val="ＭＳ Ｐ明朝"/>
      <family val="1"/>
      <charset val="128"/>
    </font>
    <font>
      <sz val="10"/>
      <name val="ＭＳ Ｐ明朝"/>
      <family val="1"/>
      <charset val="128"/>
    </font>
    <font>
      <sz val="11"/>
      <name val="ＭＳ Ｐ明朝"/>
      <family val="1"/>
      <charset val="128"/>
    </font>
    <font>
      <b/>
      <sz val="11"/>
      <color rgb="FFFF0000"/>
      <name val="ＭＳ Ｐ明朝"/>
      <family val="1"/>
      <charset val="128"/>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gray06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0" fillId="0" borderId="0">
      <alignment vertical="center"/>
    </xf>
    <xf numFmtId="6" fontId="10" fillId="0" borderId="0" applyFont="0" applyFill="0" applyBorder="0" applyAlignment="0" applyProtection="0">
      <alignment vertical="center"/>
    </xf>
  </cellStyleXfs>
  <cellXfs count="35">
    <xf numFmtId="0" fontId="0" fillId="0" borderId="0" xfId="0"/>
    <xf numFmtId="176" fontId="0" fillId="0" borderId="0" xfId="0" applyNumberFormat="1"/>
    <xf numFmtId="177" fontId="0" fillId="0" borderId="0" xfId="0" applyNumberFormat="1"/>
    <xf numFmtId="176" fontId="0" fillId="0" borderId="1" xfId="0" applyNumberFormat="1" applyBorder="1"/>
    <xf numFmtId="177" fontId="0" fillId="0" borderId="1" xfId="0" applyNumberFormat="1" applyBorder="1"/>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xf numFmtId="0" fontId="2" fillId="0" borderId="0" xfId="0" applyFont="1"/>
    <xf numFmtId="0" fontId="0" fillId="0" borderId="0" xfId="0" applyAlignment="1">
      <alignment horizontal="right"/>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xf>
    <xf numFmtId="0" fontId="3" fillId="0" borderId="0" xfId="0" applyFont="1" applyAlignment="1">
      <alignment horizontal="right"/>
    </xf>
    <xf numFmtId="0" fontId="0" fillId="3" borderId="0" xfId="0" applyFill="1" applyAlignment="1">
      <alignment horizontal="center"/>
    </xf>
    <xf numFmtId="176" fontId="0" fillId="0" borderId="1" xfId="0" applyNumberFormat="1" applyBorder="1" applyAlignment="1">
      <alignment horizontal="center"/>
    </xf>
    <xf numFmtId="177" fontId="0" fillId="0" borderId="1" xfId="0" applyNumberFormat="1" applyBorder="1" applyAlignment="1">
      <alignment horizontal="center"/>
    </xf>
    <xf numFmtId="0" fontId="0" fillId="2" borderId="1" xfId="0" applyFill="1" applyBorder="1" applyAlignment="1">
      <alignment horizontal="center"/>
    </xf>
    <xf numFmtId="0" fontId="0" fillId="0" borderId="0" xfId="0" applyAlignment="1">
      <alignment horizontal="center"/>
    </xf>
    <xf numFmtId="0" fontId="3" fillId="3" borderId="0" xfId="0" applyFont="1" applyFill="1"/>
    <xf numFmtId="14" fontId="6" fillId="3" borderId="0" xfId="0" applyNumberFormat="1" applyFont="1" applyFill="1"/>
    <xf numFmtId="0" fontId="10" fillId="0" borderId="0" xfId="1">
      <alignment vertical="center"/>
    </xf>
    <xf numFmtId="0" fontId="10" fillId="0" borderId="1" xfId="1" applyBorder="1" applyAlignment="1">
      <alignment horizontal="center" vertical="center"/>
    </xf>
    <xf numFmtId="0" fontId="9" fillId="0" borderId="0" xfId="1" applyFont="1" applyAlignment="1">
      <alignment vertical="center" shrinkToFit="1"/>
    </xf>
    <xf numFmtId="0" fontId="10" fillId="4" borderId="1" xfId="1" applyFill="1" applyBorder="1" applyAlignment="1">
      <alignment horizontal="center" vertical="center"/>
    </xf>
    <xf numFmtId="0" fontId="10" fillId="0" borderId="0" xfId="1" applyAlignment="1">
      <alignment horizontal="center" vertical="center"/>
    </xf>
    <xf numFmtId="0" fontId="10" fillId="3" borderId="1" xfId="1" applyFill="1" applyBorder="1" applyAlignment="1">
      <alignment horizontal="center" vertical="center"/>
    </xf>
    <xf numFmtId="0" fontId="0" fillId="3" borderId="1" xfId="0" applyFill="1" applyBorder="1"/>
    <xf numFmtId="0" fontId="10" fillId="0" borderId="1" xfId="1" applyBorder="1">
      <alignment vertical="center"/>
    </xf>
    <xf numFmtId="0" fontId="10" fillId="0" borderId="2" xfId="1" applyBorder="1">
      <alignment vertical="center"/>
    </xf>
    <xf numFmtId="0" fontId="11" fillId="3" borderId="0" xfId="1" applyFont="1" applyFill="1">
      <alignment vertical="center"/>
    </xf>
    <xf numFmtId="0" fontId="7" fillId="0" borderId="0" xfId="1" applyFont="1" applyAlignment="1">
      <alignment horizontal="center" vertical="center"/>
    </xf>
    <xf numFmtId="0" fontId="10" fillId="0" borderId="1" xfId="1" applyBorder="1" applyAlignment="1">
      <alignment horizontal="center" vertical="center"/>
    </xf>
    <xf numFmtId="0" fontId="9" fillId="0" borderId="0" xfId="1" applyFont="1" applyAlignment="1">
      <alignment vertical="center" shrinkToFit="1"/>
    </xf>
  </cellXfs>
  <cellStyles count="3">
    <cellStyle name="通貨 2" xfId="2" xr:uid="{3213396F-275A-47D0-BFF2-4E2BC1048D58}"/>
    <cellStyle name="標準" xfId="0" builtinId="0"/>
    <cellStyle name="標準 2" xfId="1" xr:uid="{0A31976E-C85E-48EE-8D22-A3BB83E438EE}"/>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513F-7931-46D7-BA45-8F63B2FB3DEC}">
  <dimension ref="A1:D9"/>
  <sheetViews>
    <sheetView workbookViewId="0">
      <selection activeCell="B31" sqref="B31"/>
    </sheetView>
  </sheetViews>
  <sheetFormatPr defaultRowHeight="13.3"/>
  <cols>
    <col min="2" max="2" width="17.84375" bestFit="1" customWidth="1"/>
    <col min="3" max="3" width="8.23046875" bestFit="1" customWidth="1"/>
    <col min="4" max="4" width="92.15234375" bestFit="1" customWidth="1"/>
  </cols>
  <sheetData>
    <row r="1" spans="1:4">
      <c r="A1" s="5" t="s">
        <v>2</v>
      </c>
      <c r="B1" s="5" t="s">
        <v>3</v>
      </c>
      <c r="C1" s="5" t="s">
        <v>102</v>
      </c>
      <c r="D1" s="5" t="s">
        <v>93</v>
      </c>
    </row>
    <row r="2" spans="1:4">
      <c r="A2" s="5">
        <v>63</v>
      </c>
      <c r="B2" s="5" t="s">
        <v>75</v>
      </c>
      <c r="C2" s="5" t="s">
        <v>103</v>
      </c>
      <c r="D2" s="5" t="s">
        <v>94</v>
      </c>
    </row>
    <row r="3" spans="1:4">
      <c r="A3" s="5">
        <v>46</v>
      </c>
      <c r="B3" s="5" t="s">
        <v>58</v>
      </c>
      <c r="C3" s="5" t="s">
        <v>103</v>
      </c>
      <c r="D3" s="5" t="s">
        <v>99</v>
      </c>
    </row>
    <row r="4" spans="1:4">
      <c r="A4" s="5">
        <v>15</v>
      </c>
      <c r="B4" s="5" t="s">
        <v>87</v>
      </c>
      <c r="C4" s="5" t="s">
        <v>103</v>
      </c>
      <c r="D4" s="5" t="s">
        <v>100</v>
      </c>
    </row>
    <row r="5" spans="1:4">
      <c r="A5" s="5">
        <v>1</v>
      </c>
      <c r="B5" s="5" t="s">
        <v>88</v>
      </c>
      <c r="C5" s="5" t="s">
        <v>103</v>
      </c>
      <c r="D5" s="5" t="s">
        <v>101</v>
      </c>
    </row>
    <row r="6" spans="1:4">
      <c r="A6" s="5">
        <v>32</v>
      </c>
      <c r="B6" s="5" t="s">
        <v>44</v>
      </c>
      <c r="C6" s="5" t="s">
        <v>103</v>
      </c>
      <c r="D6" s="5" t="s">
        <v>95</v>
      </c>
    </row>
    <row r="7" spans="1:4">
      <c r="A7" s="5">
        <v>44</v>
      </c>
      <c r="B7" s="5" t="s">
        <v>56</v>
      </c>
      <c r="C7" s="5" t="s">
        <v>103</v>
      </c>
      <c r="D7" s="5" t="s">
        <v>98</v>
      </c>
    </row>
    <row r="8" spans="1:4">
      <c r="A8" s="5">
        <v>43</v>
      </c>
      <c r="B8" s="5" t="s">
        <v>55</v>
      </c>
      <c r="C8" s="5" t="s">
        <v>103</v>
      </c>
      <c r="D8" s="5" t="s">
        <v>97</v>
      </c>
    </row>
    <row r="9" spans="1:4">
      <c r="A9" s="5">
        <v>51</v>
      </c>
      <c r="B9" s="5" t="s">
        <v>63</v>
      </c>
      <c r="C9" s="5" t="s">
        <v>103</v>
      </c>
      <c r="D9" s="5" t="s">
        <v>96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2196-0C54-4452-98F4-10E22B459E80}">
  <sheetPr codeName="Sheet1"/>
  <dimension ref="A1:I28"/>
  <sheetViews>
    <sheetView zoomScaleNormal="100" workbookViewId="0">
      <pane ySplit="4" topLeftCell="A5" activePane="bottomLeft" state="frozen"/>
      <selection pane="bottomLeft" activeCell="F4" sqref="F4"/>
    </sheetView>
  </sheetViews>
  <sheetFormatPr defaultRowHeight="13.3"/>
  <cols>
    <col min="2" max="2" width="6.15234375" style="1" bestFit="1" customWidth="1"/>
    <col min="3" max="3" width="7.3828125" style="2" customWidth="1"/>
    <col min="5" max="5" width="26.3828125" customWidth="1"/>
    <col min="6" max="8" width="9" style="19"/>
    <col min="9" max="9" width="20" customWidth="1"/>
    <col min="251" max="251" width="6.15234375" bestFit="1" customWidth="1"/>
    <col min="252" max="252" width="7.3828125" customWidth="1"/>
    <col min="254" max="254" width="16.84375" customWidth="1"/>
    <col min="258" max="258" width="17.61328125" customWidth="1"/>
    <col min="507" max="507" width="6.15234375" bestFit="1" customWidth="1"/>
    <col min="508" max="508" width="7.3828125" customWidth="1"/>
    <col min="510" max="510" width="16.84375" customWidth="1"/>
    <col min="514" max="514" width="17.61328125" customWidth="1"/>
    <col min="763" max="763" width="6.15234375" bestFit="1" customWidth="1"/>
    <col min="764" max="764" width="7.3828125" customWidth="1"/>
    <col min="766" max="766" width="16.84375" customWidth="1"/>
    <col min="770" max="770" width="17.61328125" customWidth="1"/>
    <col min="1019" max="1019" width="6.15234375" bestFit="1" customWidth="1"/>
    <col min="1020" max="1020" width="7.3828125" customWidth="1"/>
    <col min="1022" max="1022" width="16.84375" customWidth="1"/>
    <col min="1026" max="1026" width="17.61328125" customWidth="1"/>
    <col min="1275" max="1275" width="6.15234375" bestFit="1" customWidth="1"/>
    <col min="1276" max="1276" width="7.3828125" customWidth="1"/>
    <col min="1278" max="1278" width="16.84375" customWidth="1"/>
    <col min="1282" max="1282" width="17.61328125" customWidth="1"/>
    <col min="1531" max="1531" width="6.15234375" bestFit="1" customWidth="1"/>
    <col min="1532" max="1532" width="7.3828125" customWidth="1"/>
    <col min="1534" max="1534" width="16.84375" customWidth="1"/>
    <col min="1538" max="1538" width="17.61328125" customWidth="1"/>
    <col min="1787" max="1787" width="6.15234375" bestFit="1" customWidth="1"/>
    <col min="1788" max="1788" width="7.3828125" customWidth="1"/>
    <col min="1790" max="1790" width="16.84375" customWidth="1"/>
    <col min="1794" max="1794" width="17.61328125" customWidth="1"/>
    <col min="2043" max="2043" width="6.15234375" bestFit="1" customWidth="1"/>
    <col min="2044" max="2044" width="7.3828125" customWidth="1"/>
    <col min="2046" max="2046" width="16.84375" customWidth="1"/>
    <col min="2050" max="2050" width="17.61328125" customWidth="1"/>
    <col min="2299" max="2299" width="6.15234375" bestFit="1" customWidth="1"/>
    <col min="2300" max="2300" width="7.3828125" customWidth="1"/>
    <col min="2302" max="2302" width="16.84375" customWidth="1"/>
    <col min="2306" max="2306" width="17.61328125" customWidth="1"/>
    <col min="2555" max="2555" width="6.15234375" bestFit="1" customWidth="1"/>
    <col min="2556" max="2556" width="7.3828125" customWidth="1"/>
    <col min="2558" max="2558" width="16.84375" customWidth="1"/>
    <col min="2562" max="2562" width="17.61328125" customWidth="1"/>
    <col min="2811" max="2811" width="6.15234375" bestFit="1" customWidth="1"/>
    <col min="2812" max="2812" width="7.3828125" customWidth="1"/>
    <col min="2814" max="2814" width="16.84375" customWidth="1"/>
    <col min="2818" max="2818" width="17.61328125" customWidth="1"/>
    <col min="3067" max="3067" width="6.15234375" bestFit="1" customWidth="1"/>
    <col min="3068" max="3068" width="7.3828125" customWidth="1"/>
    <col min="3070" max="3070" width="16.84375" customWidth="1"/>
    <col min="3074" max="3074" width="17.61328125" customWidth="1"/>
    <col min="3323" max="3323" width="6.15234375" bestFit="1" customWidth="1"/>
    <col min="3324" max="3324" width="7.3828125" customWidth="1"/>
    <col min="3326" max="3326" width="16.84375" customWidth="1"/>
    <col min="3330" max="3330" width="17.61328125" customWidth="1"/>
    <col min="3579" max="3579" width="6.15234375" bestFit="1" customWidth="1"/>
    <col min="3580" max="3580" width="7.3828125" customWidth="1"/>
    <col min="3582" max="3582" width="16.84375" customWidth="1"/>
    <col min="3586" max="3586" width="17.61328125" customWidth="1"/>
    <col min="3835" max="3835" width="6.15234375" bestFit="1" customWidth="1"/>
    <col min="3836" max="3836" width="7.3828125" customWidth="1"/>
    <col min="3838" max="3838" width="16.84375" customWidth="1"/>
    <col min="3842" max="3842" width="17.61328125" customWidth="1"/>
    <col min="4091" max="4091" width="6.15234375" bestFit="1" customWidth="1"/>
    <col min="4092" max="4092" width="7.3828125" customWidth="1"/>
    <col min="4094" max="4094" width="16.84375" customWidth="1"/>
    <col min="4098" max="4098" width="17.61328125" customWidth="1"/>
    <col min="4347" max="4347" width="6.15234375" bestFit="1" customWidth="1"/>
    <col min="4348" max="4348" width="7.3828125" customWidth="1"/>
    <col min="4350" max="4350" width="16.84375" customWidth="1"/>
    <col min="4354" max="4354" width="17.61328125" customWidth="1"/>
    <col min="4603" max="4603" width="6.15234375" bestFit="1" customWidth="1"/>
    <col min="4604" max="4604" width="7.3828125" customWidth="1"/>
    <col min="4606" max="4606" width="16.84375" customWidth="1"/>
    <col min="4610" max="4610" width="17.61328125" customWidth="1"/>
    <col min="4859" max="4859" width="6.15234375" bestFit="1" customWidth="1"/>
    <col min="4860" max="4860" width="7.3828125" customWidth="1"/>
    <col min="4862" max="4862" width="16.84375" customWidth="1"/>
    <col min="4866" max="4866" width="17.61328125" customWidth="1"/>
    <col min="5115" max="5115" width="6.15234375" bestFit="1" customWidth="1"/>
    <col min="5116" max="5116" width="7.3828125" customWidth="1"/>
    <col min="5118" max="5118" width="16.84375" customWidth="1"/>
    <col min="5122" max="5122" width="17.61328125" customWidth="1"/>
    <col min="5371" max="5371" width="6.15234375" bestFit="1" customWidth="1"/>
    <col min="5372" max="5372" width="7.3828125" customWidth="1"/>
    <col min="5374" max="5374" width="16.84375" customWidth="1"/>
    <col min="5378" max="5378" width="17.61328125" customWidth="1"/>
    <col min="5627" max="5627" width="6.15234375" bestFit="1" customWidth="1"/>
    <col min="5628" max="5628" width="7.3828125" customWidth="1"/>
    <col min="5630" max="5630" width="16.84375" customWidth="1"/>
    <col min="5634" max="5634" width="17.61328125" customWidth="1"/>
    <col min="5883" max="5883" width="6.15234375" bestFit="1" customWidth="1"/>
    <col min="5884" max="5884" width="7.3828125" customWidth="1"/>
    <col min="5886" max="5886" width="16.84375" customWidth="1"/>
    <col min="5890" max="5890" width="17.61328125" customWidth="1"/>
    <col min="6139" max="6139" width="6.15234375" bestFit="1" customWidth="1"/>
    <col min="6140" max="6140" width="7.3828125" customWidth="1"/>
    <col min="6142" max="6142" width="16.84375" customWidth="1"/>
    <col min="6146" max="6146" width="17.61328125" customWidth="1"/>
    <col min="6395" max="6395" width="6.15234375" bestFit="1" customWidth="1"/>
    <col min="6396" max="6396" width="7.3828125" customWidth="1"/>
    <col min="6398" max="6398" width="16.84375" customWidth="1"/>
    <col min="6402" max="6402" width="17.61328125" customWidth="1"/>
    <col min="6651" max="6651" width="6.15234375" bestFit="1" customWidth="1"/>
    <col min="6652" max="6652" width="7.3828125" customWidth="1"/>
    <col min="6654" max="6654" width="16.84375" customWidth="1"/>
    <col min="6658" max="6658" width="17.61328125" customWidth="1"/>
    <col min="6907" max="6907" width="6.15234375" bestFit="1" customWidth="1"/>
    <col min="6908" max="6908" width="7.3828125" customWidth="1"/>
    <col min="6910" max="6910" width="16.84375" customWidth="1"/>
    <col min="6914" max="6914" width="17.61328125" customWidth="1"/>
    <col min="7163" max="7163" width="6.15234375" bestFit="1" customWidth="1"/>
    <col min="7164" max="7164" width="7.3828125" customWidth="1"/>
    <col min="7166" max="7166" width="16.84375" customWidth="1"/>
    <col min="7170" max="7170" width="17.61328125" customWidth="1"/>
    <col min="7419" max="7419" width="6.15234375" bestFit="1" customWidth="1"/>
    <col min="7420" max="7420" width="7.3828125" customWidth="1"/>
    <col min="7422" max="7422" width="16.84375" customWidth="1"/>
    <col min="7426" max="7426" width="17.61328125" customWidth="1"/>
    <col min="7675" max="7675" width="6.15234375" bestFit="1" customWidth="1"/>
    <col min="7676" max="7676" width="7.3828125" customWidth="1"/>
    <col min="7678" max="7678" width="16.84375" customWidth="1"/>
    <col min="7682" max="7682" width="17.61328125" customWidth="1"/>
    <col min="7931" max="7931" width="6.15234375" bestFit="1" customWidth="1"/>
    <col min="7932" max="7932" width="7.3828125" customWidth="1"/>
    <col min="7934" max="7934" width="16.84375" customWidth="1"/>
    <col min="7938" max="7938" width="17.61328125" customWidth="1"/>
    <col min="8187" max="8187" width="6.15234375" bestFit="1" customWidth="1"/>
    <col min="8188" max="8188" width="7.3828125" customWidth="1"/>
    <col min="8190" max="8190" width="16.84375" customWidth="1"/>
    <col min="8194" max="8194" width="17.61328125" customWidth="1"/>
    <col min="8443" max="8443" width="6.15234375" bestFit="1" customWidth="1"/>
    <col min="8444" max="8444" width="7.3828125" customWidth="1"/>
    <col min="8446" max="8446" width="16.84375" customWidth="1"/>
    <col min="8450" max="8450" width="17.61328125" customWidth="1"/>
    <col min="8699" max="8699" width="6.15234375" bestFit="1" customWidth="1"/>
    <col min="8700" max="8700" width="7.3828125" customWidth="1"/>
    <col min="8702" max="8702" width="16.84375" customWidth="1"/>
    <col min="8706" max="8706" width="17.61328125" customWidth="1"/>
    <col min="8955" max="8955" width="6.15234375" bestFit="1" customWidth="1"/>
    <col min="8956" max="8956" width="7.3828125" customWidth="1"/>
    <col min="8958" max="8958" width="16.84375" customWidth="1"/>
    <col min="8962" max="8962" width="17.61328125" customWidth="1"/>
    <col min="9211" max="9211" width="6.15234375" bestFit="1" customWidth="1"/>
    <col min="9212" max="9212" width="7.3828125" customWidth="1"/>
    <col min="9214" max="9214" width="16.84375" customWidth="1"/>
    <col min="9218" max="9218" width="17.61328125" customWidth="1"/>
    <col min="9467" max="9467" width="6.15234375" bestFit="1" customWidth="1"/>
    <col min="9468" max="9468" width="7.3828125" customWidth="1"/>
    <col min="9470" max="9470" width="16.84375" customWidth="1"/>
    <col min="9474" max="9474" width="17.61328125" customWidth="1"/>
    <col min="9723" max="9723" width="6.15234375" bestFit="1" customWidth="1"/>
    <col min="9724" max="9724" width="7.3828125" customWidth="1"/>
    <col min="9726" max="9726" width="16.84375" customWidth="1"/>
    <col min="9730" max="9730" width="17.61328125" customWidth="1"/>
    <col min="9979" max="9979" width="6.15234375" bestFit="1" customWidth="1"/>
    <col min="9980" max="9980" width="7.3828125" customWidth="1"/>
    <col min="9982" max="9982" width="16.84375" customWidth="1"/>
    <col min="9986" max="9986" width="17.61328125" customWidth="1"/>
    <col min="10235" max="10235" width="6.15234375" bestFit="1" customWidth="1"/>
    <col min="10236" max="10236" width="7.3828125" customWidth="1"/>
    <col min="10238" max="10238" width="16.84375" customWidth="1"/>
    <col min="10242" max="10242" width="17.61328125" customWidth="1"/>
    <col min="10491" max="10491" width="6.15234375" bestFit="1" customWidth="1"/>
    <col min="10492" max="10492" width="7.3828125" customWidth="1"/>
    <col min="10494" max="10494" width="16.84375" customWidth="1"/>
    <col min="10498" max="10498" width="17.61328125" customWidth="1"/>
    <col min="10747" max="10747" width="6.15234375" bestFit="1" customWidth="1"/>
    <col min="10748" max="10748" width="7.3828125" customWidth="1"/>
    <col min="10750" max="10750" width="16.84375" customWidth="1"/>
    <col min="10754" max="10754" width="17.61328125" customWidth="1"/>
    <col min="11003" max="11003" width="6.15234375" bestFit="1" customWidth="1"/>
    <col min="11004" max="11004" width="7.3828125" customWidth="1"/>
    <col min="11006" max="11006" width="16.84375" customWidth="1"/>
    <col min="11010" max="11010" width="17.61328125" customWidth="1"/>
    <col min="11259" max="11259" width="6.15234375" bestFit="1" customWidth="1"/>
    <col min="11260" max="11260" width="7.3828125" customWidth="1"/>
    <col min="11262" max="11262" width="16.84375" customWidth="1"/>
    <col min="11266" max="11266" width="17.61328125" customWidth="1"/>
    <col min="11515" max="11515" width="6.15234375" bestFit="1" customWidth="1"/>
    <col min="11516" max="11516" width="7.3828125" customWidth="1"/>
    <col min="11518" max="11518" width="16.84375" customWidth="1"/>
    <col min="11522" max="11522" width="17.61328125" customWidth="1"/>
    <col min="11771" max="11771" width="6.15234375" bestFit="1" customWidth="1"/>
    <col min="11772" max="11772" width="7.3828125" customWidth="1"/>
    <col min="11774" max="11774" width="16.84375" customWidth="1"/>
    <col min="11778" max="11778" width="17.61328125" customWidth="1"/>
    <col min="12027" max="12027" width="6.15234375" bestFit="1" customWidth="1"/>
    <col min="12028" max="12028" width="7.3828125" customWidth="1"/>
    <col min="12030" max="12030" width="16.84375" customWidth="1"/>
    <col min="12034" max="12034" width="17.61328125" customWidth="1"/>
    <col min="12283" max="12283" width="6.15234375" bestFit="1" customWidth="1"/>
    <col min="12284" max="12284" width="7.3828125" customWidth="1"/>
    <col min="12286" max="12286" width="16.84375" customWidth="1"/>
    <col min="12290" max="12290" width="17.61328125" customWidth="1"/>
    <col min="12539" max="12539" width="6.15234375" bestFit="1" customWidth="1"/>
    <col min="12540" max="12540" width="7.3828125" customWidth="1"/>
    <col min="12542" max="12542" width="16.84375" customWidth="1"/>
    <col min="12546" max="12546" width="17.61328125" customWidth="1"/>
    <col min="12795" max="12795" width="6.15234375" bestFit="1" customWidth="1"/>
    <col min="12796" max="12796" width="7.3828125" customWidth="1"/>
    <col min="12798" max="12798" width="16.84375" customWidth="1"/>
    <col min="12802" max="12802" width="17.61328125" customWidth="1"/>
    <col min="13051" max="13051" width="6.15234375" bestFit="1" customWidth="1"/>
    <col min="13052" max="13052" width="7.3828125" customWidth="1"/>
    <col min="13054" max="13054" width="16.84375" customWidth="1"/>
    <col min="13058" max="13058" width="17.61328125" customWidth="1"/>
    <col min="13307" max="13307" width="6.15234375" bestFit="1" customWidth="1"/>
    <col min="13308" max="13308" width="7.3828125" customWidth="1"/>
    <col min="13310" max="13310" width="16.84375" customWidth="1"/>
    <col min="13314" max="13314" width="17.61328125" customWidth="1"/>
    <col min="13563" max="13563" width="6.15234375" bestFit="1" customWidth="1"/>
    <col min="13564" max="13564" width="7.3828125" customWidth="1"/>
    <col min="13566" max="13566" width="16.84375" customWidth="1"/>
    <col min="13570" max="13570" width="17.61328125" customWidth="1"/>
    <col min="13819" max="13819" width="6.15234375" bestFit="1" customWidth="1"/>
    <col min="13820" max="13820" width="7.3828125" customWidth="1"/>
    <col min="13822" max="13822" width="16.84375" customWidth="1"/>
    <col min="13826" max="13826" width="17.61328125" customWidth="1"/>
    <col min="14075" max="14075" width="6.15234375" bestFit="1" customWidth="1"/>
    <col min="14076" max="14076" width="7.3828125" customWidth="1"/>
    <col min="14078" max="14078" width="16.84375" customWidth="1"/>
    <col min="14082" max="14082" width="17.61328125" customWidth="1"/>
    <col min="14331" max="14331" width="6.15234375" bestFit="1" customWidth="1"/>
    <col min="14332" max="14332" width="7.3828125" customWidth="1"/>
    <col min="14334" max="14334" width="16.84375" customWidth="1"/>
    <col min="14338" max="14338" width="17.61328125" customWidth="1"/>
    <col min="14587" max="14587" width="6.15234375" bestFit="1" customWidth="1"/>
    <col min="14588" max="14588" width="7.3828125" customWidth="1"/>
    <col min="14590" max="14590" width="16.84375" customWidth="1"/>
    <col min="14594" max="14594" width="17.61328125" customWidth="1"/>
    <col min="14843" max="14843" width="6.15234375" bestFit="1" customWidth="1"/>
    <col min="14844" max="14844" width="7.3828125" customWidth="1"/>
    <col min="14846" max="14846" width="16.84375" customWidth="1"/>
    <col min="14850" max="14850" width="17.61328125" customWidth="1"/>
    <col min="15099" max="15099" width="6.15234375" bestFit="1" customWidth="1"/>
    <col min="15100" max="15100" width="7.3828125" customWidth="1"/>
    <col min="15102" max="15102" width="16.84375" customWidth="1"/>
    <col min="15106" max="15106" width="17.61328125" customWidth="1"/>
    <col min="15355" max="15355" width="6.15234375" bestFit="1" customWidth="1"/>
    <col min="15356" max="15356" width="7.3828125" customWidth="1"/>
    <col min="15358" max="15358" width="16.84375" customWidth="1"/>
    <col min="15362" max="15362" width="17.61328125" customWidth="1"/>
    <col min="15611" max="15611" width="6.15234375" bestFit="1" customWidth="1"/>
    <col min="15612" max="15612" width="7.3828125" customWidth="1"/>
    <col min="15614" max="15614" width="16.84375" customWidth="1"/>
    <col min="15618" max="15618" width="17.61328125" customWidth="1"/>
    <col min="15867" max="15867" width="6.15234375" bestFit="1" customWidth="1"/>
    <col min="15868" max="15868" width="7.3828125" customWidth="1"/>
    <col min="15870" max="15870" width="16.84375" customWidth="1"/>
    <col min="15874" max="15874" width="17.61328125" customWidth="1"/>
    <col min="16123" max="16123" width="6.15234375" bestFit="1" customWidth="1"/>
    <col min="16124" max="16124" width="7.3828125" customWidth="1"/>
    <col min="16126" max="16126" width="16.84375" customWidth="1"/>
    <col min="16130" max="16130" width="17.61328125" customWidth="1"/>
  </cols>
  <sheetData>
    <row r="1" spans="1:9">
      <c r="A1" s="9" t="s">
        <v>85</v>
      </c>
    </row>
    <row r="2" spans="1:9">
      <c r="E2" s="19"/>
      <c r="I2" s="10"/>
    </row>
    <row r="3" spans="1:9">
      <c r="E3" s="15" t="s">
        <v>84</v>
      </c>
      <c r="I3" s="10" t="s">
        <v>80</v>
      </c>
    </row>
    <row r="4" spans="1:9">
      <c r="B4" s="16" t="s">
        <v>0</v>
      </c>
      <c r="C4" s="17" t="s">
        <v>1</v>
      </c>
      <c r="D4" s="18" t="s">
        <v>2</v>
      </c>
      <c r="E4" s="13" t="s">
        <v>3</v>
      </c>
      <c r="F4" s="13" t="s">
        <v>4</v>
      </c>
      <c r="G4" s="13" t="s">
        <v>5</v>
      </c>
      <c r="H4" s="13" t="s">
        <v>6</v>
      </c>
      <c r="I4" s="13" t="s">
        <v>7</v>
      </c>
    </row>
    <row r="5" spans="1:9">
      <c r="B5" s="3">
        <v>2026</v>
      </c>
      <c r="C5" s="4">
        <v>46074</v>
      </c>
      <c r="D5" s="8">
        <f>+IF(E5="","",+VLOOKUP(E5,'在庫チェック表(発注担当者用)'!$B$2:$C$77,2,0))</f>
        <v>63</v>
      </c>
      <c r="E5" s="5" t="s">
        <v>75</v>
      </c>
      <c r="F5" s="13"/>
      <c r="G5" s="13">
        <v>5</v>
      </c>
      <c r="H5" s="13" t="s">
        <v>83</v>
      </c>
      <c r="I5" s="5"/>
    </row>
    <row r="6" spans="1:9">
      <c r="B6" s="3"/>
      <c r="C6" s="4">
        <v>46076</v>
      </c>
      <c r="D6" s="8">
        <f>+IF(E6="","",+VLOOKUP(E6,'在庫チェック表(発注担当者用)'!$B$2:$C$77,2,0))</f>
        <v>43</v>
      </c>
      <c r="E6" s="5" t="s">
        <v>55</v>
      </c>
      <c r="F6" s="13"/>
      <c r="G6" s="13">
        <v>10</v>
      </c>
      <c r="H6" s="13" t="s">
        <v>86</v>
      </c>
      <c r="I6" s="5"/>
    </row>
    <row r="7" spans="1:9">
      <c r="B7" s="3"/>
      <c r="C7" s="4">
        <v>46077</v>
      </c>
      <c r="D7" s="8">
        <f>+IF(E7="","",+VLOOKUP(E7,'在庫チェック表(発注担当者用)'!$B$2:$C$77,2,0))</f>
        <v>46</v>
      </c>
      <c r="E7" s="5" t="s">
        <v>58</v>
      </c>
      <c r="F7" s="13"/>
      <c r="G7" s="13">
        <v>8</v>
      </c>
      <c r="H7" s="13" t="s">
        <v>86</v>
      </c>
      <c r="I7" s="5"/>
    </row>
    <row r="8" spans="1:9">
      <c r="B8" s="3"/>
      <c r="C8" s="4">
        <v>46086</v>
      </c>
      <c r="D8" s="8">
        <f>+IF(E8="","",+VLOOKUP(E8,'在庫チェック表(発注担当者用)'!$B$2:$C$77,2,0))</f>
        <v>15</v>
      </c>
      <c r="E8" s="5" t="s">
        <v>87</v>
      </c>
      <c r="F8" s="13"/>
      <c r="G8" s="13">
        <v>3</v>
      </c>
      <c r="H8" s="13" t="s">
        <v>83</v>
      </c>
      <c r="I8" s="5"/>
    </row>
    <row r="9" spans="1:9">
      <c r="B9" s="3"/>
      <c r="C9" s="4">
        <v>46096</v>
      </c>
      <c r="D9" s="8">
        <f>+IF(E9="","",+VLOOKUP(E9,'在庫チェック表(発注担当者用)'!$B$2:$C$77,2,0))</f>
        <v>1</v>
      </c>
      <c r="E9" s="5" t="s">
        <v>88</v>
      </c>
      <c r="F9" s="13"/>
      <c r="G9" s="13">
        <v>5</v>
      </c>
      <c r="H9" s="13" t="s">
        <v>89</v>
      </c>
      <c r="I9" s="5"/>
    </row>
    <row r="10" spans="1:9">
      <c r="B10" s="3"/>
      <c r="C10" s="4">
        <v>46112</v>
      </c>
      <c r="D10" s="8">
        <f>+IF(E10="","",+VLOOKUP(E10,'在庫チェック表(発注担当者用)'!$B$2:$C$77,2,0))</f>
        <v>32</v>
      </c>
      <c r="E10" s="5" t="s">
        <v>44</v>
      </c>
      <c r="F10" s="13"/>
      <c r="G10" s="13">
        <v>40</v>
      </c>
      <c r="H10" s="13" t="s">
        <v>90</v>
      </c>
      <c r="I10" s="5"/>
    </row>
    <row r="11" spans="1:9">
      <c r="B11" s="3"/>
      <c r="C11" s="4">
        <v>46112</v>
      </c>
      <c r="D11" s="8">
        <f>+IF(E11="","",+VLOOKUP(E11,'在庫チェック表(発注担当者用)'!$B$2:$C$77,2,0))</f>
        <v>44</v>
      </c>
      <c r="E11" s="5" t="s">
        <v>56</v>
      </c>
      <c r="F11" s="13"/>
      <c r="G11" s="13">
        <v>2</v>
      </c>
      <c r="H11" s="13" t="s">
        <v>90</v>
      </c>
      <c r="I11" s="5"/>
    </row>
    <row r="12" spans="1:9">
      <c r="B12" s="3"/>
      <c r="C12" s="4">
        <v>46113</v>
      </c>
      <c r="D12" s="8">
        <f>+IF(E12="","",+VLOOKUP(E12,'在庫チェック表(発注担当者用)'!$B$2:$C$77,2,0))</f>
        <v>43</v>
      </c>
      <c r="E12" s="5" t="s">
        <v>55</v>
      </c>
      <c r="F12" s="13"/>
      <c r="G12" s="13">
        <v>2</v>
      </c>
      <c r="H12" s="13" t="s">
        <v>90</v>
      </c>
      <c r="I12" s="5"/>
    </row>
    <row r="13" spans="1:9">
      <c r="B13" s="3"/>
      <c r="C13" s="4">
        <v>46024</v>
      </c>
      <c r="D13" s="8">
        <f>+IF(E13="","",+VLOOKUP(E13,'在庫チェック表(発注担当者用)'!$B$2:$C$77,2,0))</f>
        <v>51</v>
      </c>
      <c r="E13" s="5" t="s">
        <v>63</v>
      </c>
      <c r="F13" s="13"/>
      <c r="G13" s="13">
        <v>2</v>
      </c>
      <c r="H13" s="13" t="s">
        <v>90</v>
      </c>
      <c r="I13" s="5"/>
    </row>
    <row r="14" spans="1:9">
      <c r="B14" s="3"/>
      <c r="C14" s="4"/>
      <c r="D14" s="8" t="str">
        <f>+IF(E14="","",+VLOOKUP(E14,'在庫チェック表(発注担当者用)'!$B$2:$C$77,2,0))</f>
        <v/>
      </c>
      <c r="E14" s="5"/>
      <c r="F14" s="13"/>
      <c r="G14" s="13"/>
      <c r="H14" s="13"/>
      <c r="I14" s="5"/>
    </row>
    <row r="15" spans="1:9">
      <c r="B15" s="3"/>
      <c r="C15" s="4"/>
      <c r="D15" s="8" t="str">
        <f>+IF(E15="","",+VLOOKUP(E15,'在庫チェック表(発注担当者用)'!$B$2:$C$77,2,0))</f>
        <v/>
      </c>
      <c r="E15" s="5"/>
      <c r="F15" s="13"/>
      <c r="G15" s="13"/>
      <c r="H15" s="13"/>
      <c r="I15" s="5"/>
    </row>
    <row r="16" spans="1:9">
      <c r="B16" s="3"/>
      <c r="C16" s="4"/>
      <c r="D16" s="8" t="str">
        <f>+IF(E16="","",+VLOOKUP(E16,'在庫チェック表(発注担当者用)'!$B$2:$C$77,2,0))</f>
        <v/>
      </c>
      <c r="E16" s="5"/>
      <c r="F16" s="13"/>
      <c r="G16" s="13"/>
      <c r="H16" s="13"/>
      <c r="I16" s="5"/>
    </row>
    <row r="17" spans="2:9">
      <c r="B17" s="3"/>
      <c r="C17" s="4"/>
      <c r="D17" s="8" t="str">
        <f>+IF(E17="","",+VLOOKUP(E17,'在庫チェック表(発注担当者用)'!$B$2:$C$77,2,0))</f>
        <v/>
      </c>
      <c r="E17" s="5"/>
      <c r="F17" s="13"/>
      <c r="G17" s="13"/>
      <c r="H17" s="13"/>
      <c r="I17" s="5"/>
    </row>
    <row r="18" spans="2:9">
      <c r="B18" s="3"/>
      <c r="C18" s="4"/>
      <c r="D18" s="8" t="str">
        <f>+IF(E18="","",+VLOOKUP(E18,'在庫チェック表(発注担当者用)'!$B$2:$C$77,2,0))</f>
        <v/>
      </c>
      <c r="E18" s="5"/>
      <c r="F18" s="13"/>
      <c r="G18" s="13"/>
      <c r="H18" s="13"/>
      <c r="I18" s="5"/>
    </row>
    <row r="19" spans="2:9">
      <c r="B19" s="3"/>
      <c r="C19" s="4"/>
      <c r="D19" s="8" t="str">
        <f>+IF(E19="","",+VLOOKUP(E19,'在庫チェック表(発注担当者用)'!$B$2:$C$77,2,0))</f>
        <v/>
      </c>
      <c r="E19" s="5"/>
      <c r="F19" s="13"/>
      <c r="G19" s="13"/>
      <c r="H19" s="13"/>
      <c r="I19" s="5"/>
    </row>
    <row r="20" spans="2:9">
      <c r="B20" s="3"/>
      <c r="C20" s="4"/>
      <c r="D20" s="8" t="str">
        <f>+IF(E20="","",+VLOOKUP(E20,'在庫チェック表(発注担当者用)'!$B$2:$C$77,2,0))</f>
        <v/>
      </c>
      <c r="E20" s="5"/>
      <c r="F20" s="13"/>
      <c r="G20" s="13"/>
      <c r="H20" s="13"/>
      <c r="I20" s="5"/>
    </row>
    <row r="21" spans="2:9">
      <c r="B21" s="3"/>
      <c r="C21" s="4"/>
      <c r="D21" s="8" t="str">
        <f>+IF(E21="","",+VLOOKUP(E21,'在庫チェック表(発注担当者用)'!$B$2:$C$77,2,0))</f>
        <v/>
      </c>
      <c r="E21" s="5"/>
      <c r="F21" s="13"/>
      <c r="G21" s="13"/>
      <c r="H21" s="13"/>
      <c r="I21" s="5"/>
    </row>
    <row r="22" spans="2:9">
      <c r="B22" s="3"/>
      <c r="C22" s="4"/>
      <c r="D22" s="8" t="str">
        <f>+IF(E22="","",+VLOOKUP(E22,'在庫チェック表(発注担当者用)'!$B$2:$C$77,2,0))</f>
        <v/>
      </c>
      <c r="E22" s="5"/>
      <c r="F22" s="13"/>
      <c r="G22" s="13"/>
      <c r="H22" s="13"/>
      <c r="I22" s="5"/>
    </row>
    <row r="23" spans="2:9">
      <c r="B23" s="3"/>
      <c r="C23" s="4"/>
      <c r="D23" s="8" t="str">
        <f>+IF(E23="","",+VLOOKUP(E23,'在庫チェック表(発注担当者用)'!$B$2:$C$77,2,0))</f>
        <v/>
      </c>
      <c r="E23" s="5"/>
      <c r="F23" s="13"/>
      <c r="G23" s="13"/>
      <c r="H23" s="13"/>
      <c r="I23" s="5"/>
    </row>
    <row r="24" spans="2:9">
      <c r="B24" s="3"/>
      <c r="C24" s="4"/>
      <c r="D24" s="8" t="str">
        <f>+IF(E24="","",+VLOOKUP(E24,'在庫チェック表(発注担当者用)'!$B$2:$C$77,2,0))</f>
        <v/>
      </c>
      <c r="E24" s="5"/>
      <c r="F24" s="13"/>
      <c r="G24" s="13"/>
      <c r="H24" s="13"/>
      <c r="I24" s="5"/>
    </row>
    <row r="25" spans="2:9">
      <c r="B25" s="3"/>
      <c r="C25" s="4"/>
      <c r="D25" s="8" t="str">
        <f>+IF(E25="","",+VLOOKUP(E25,'在庫チェック表(発注担当者用)'!$B$2:$C$77,2,0))</f>
        <v/>
      </c>
      <c r="E25" s="5"/>
      <c r="F25" s="13"/>
      <c r="G25" s="13"/>
      <c r="H25" s="13"/>
      <c r="I25" s="5"/>
    </row>
    <row r="26" spans="2:9">
      <c r="B26" s="3"/>
      <c r="C26" s="4"/>
      <c r="D26" s="8" t="str">
        <f>+IF(E26="","",+VLOOKUP(E26,'在庫チェック表(発注担当者用)'!$B$2:$C$77,2,0))</f>
        <v/>
      </c>
      <c r="E26" s="5"/>
      <c r="F26" s="13"/>
      <c r="G26" s="13"/>
      <c r="H26" s="13"/>
      <c r="I26" s="5"/>
    </row>
    <row r="27" spans="2:9">
      <c r="B27" s="3"/>
      <c r="C27" s="4"/>
      <c r="D27" s="8" t="str">
        <f>+IF(E27="","",+VLOOKUP(E27,'在庫チェック表(発注担当者用)'!$B$2:$C$77,2,0))</f>
        <v/>
      </c>
      <c r="E27" s="5"/>
      <c r="F27" s="13"/>
      <c r="G27" s="13"/>
      <c r="H27" s="13"/>
      <c r="I27" s="5"/>
    </row>
    <row r="28" spans="2:9">
      <c r="B28" s="3"/>
      <c r="C28" s="4"/>
      <c r="D28" s="8" t="str">
        <f>+IF(E28="","",+VLOOKUP(E28,'在庫チェック表(発注担当者用)'!$B$2:$C$77,2,0))</f>
        <v/>
      </c>
      <c r="E28" s="5"/>
      <c r="F28" s="13"/>
      <c r="G28" s="13"/>
      <c r="H28" s="13"/>
      <c r="I28" s="5"/>
    </row>
  </sheetData>
  <autoFilter ref="B4:I27" xr:uid="{62072196-0C54-4452-98F4-10E22B459E80}"/>
  <phoneticPr fontId="1"/>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A8BBE47-1F80-4648-925E-C675918C7811}">
          <x14:formula1>
            <xm:f>'在庫チェック表(発注担当者用)'!$B$2:$B$77</xm:f>
          </x14:formula1>
          <xm:sqref>E4 IT4 SP4 ACL4 AMH4 AWD4 BFZ4 BPV4 BZR4 CJN4 CTJ4 DDF4 DNB4 DWX4 EGT4 EQP4 FAL4 FKH4 FUD4 GDZ4 GNV4 GXR4 HHN4 HRJ4 IBF4 ILB4 IUX4 JET4 JOP4 JYL4 KIH4 KSD4 LBZ4 LLV4 LVR4 MFN4 MPJ4 MZF4 NJB4 NSX4 OCT4 OMP4 OWL4 PGH4 PQD4 PZZ4 QJV4 QTR4 RDN4 RNJ4 RXF4 SHB4 SQX4 TAT4 TKP4 TUL4 UEH4 UOD4 UXZ4 VHV4 VRR4 WBN4 WLJ4 WVF4 E64414 IT64413 SP64413 ACL64413 AMH64413 AWD64413 BFZ64413 BPV64413 BZR64413 CJN64413 CTJ64413 DDF64413 DNB64413 DWX64413 EGT64413 EQP64413 FAL64413 FKH64413 FUD64413 GDZ64413 GNV64413 GXR64413 HHN64413 HRJ64413 IBF64413 ILB64413 IUX64413 JET64413 JOP64413 JYL64413 KIH64413 KSD64413 LBZ64413 LLV64413 LVR64413 MFN64413 MPJ64413 MZF64413 NJB64413 NSX64413 OCT64413 OMP64413 OWL64413 PGH64413 PQD64413 PZZ64413 QJV64413 QTR64413 RDN64413 RNJ64413 RXF64413 SHB64413 SQX64413 TAT64413 TKP64413 TUL64413 UEH64413 UOD64413 UXZ64413 VHV64413 VRR64413 WBN64413 WLJ64413 WVF64413 E129950 IT129949 SP129949 ACL129949 AMH129949 AWD129949 BFZ129949 BPV129949 BZR129949 CJN129949 CTJ129949 DDF129949 DNB129949 DWX129949 EGT129949 EQP129949 FAL129949 FKH129949 FUD129949 GDZ129949 GNV129949 GXR129949 HHN129949 HRJ129949 IBF129949 ILB129949 IUX129949 JET129949 JOP129949 JYL129949 KIH129949 KSD129949 LBZ129949 LLV129949 LVR129949 MFN129949 MPJ129949 MZF129949 NJB129949 NSX129949 OCT129949 OMP129949 OWL129949 PGH129949 PQD129949 PZZ129949 QJV129949 QTR129949 RDN129949 RNJ129949 RXF129949 SHB129949 SQX129949 TAT129949 TKP129949 TUL129949 UEH129949 UOD129949 UXZ129949 VHV129949 VRR129949 WBN129949 WLJ129949 WVF129949 E195486 IT195485 SP195485 ACL195485 AMH195485 AWD195485 BFZ195485 BPV195485 BZR195485 CJN195485 CTJ195485 DDF195485 DNB195485 DWX195485 EGT195485 EQP195485 FAL195485 FKH195485 FUD195485 GDZ195485 GNV195485 GXR195485 HHN195485 HRJ195485 IBF195485 ILB195485 IUX195485 JET195485 JOP195485 JYL195485 KIH195485 KSD195485 LBZ195485 LLV195485 LVR195485 MFN195485 MPJ195485 MZF195485 NJB195485 NSX195485 OCT195485 OMP195485 OWL195485 PGH195485 PQD195485 PZZ195485 QJV195485 QTR195485 RDN195485 RNJ195485 RXF195485 SHB195485 SQX195485 TAT195485 TKP195485 TUL195485 UEH195485 UOD195485 UXZ195485 VHV195485 VRR195485 WBN195485 WLJ195485 WVF195485 E261022 IT261021 SP261021 ACL261021 AMH261021 AWD261021 BFZ261021 BPV261021 BZR261021 CJN261021 CTJ261021 DDF261021 DNB261021 DWX261021 EGT261021 EQP261021 FAL261021 FKH261021 FUD261021 GDZ261021 GNV261021 GXR261021 HHN261021 HRJ261021 IBF261021 ILB261021 IUX261021 JET261021 JOP261021 JYL261021 KIH261021 KSD261021 LBZ261021 LLV261021 LVR261021 MFN261021 MPJ261021 MZF261021 NJB261021 NSX261021 OCT261021 OMP261021 OWL261021 PGH261021 PQD261021 PZZ261021 QJV261021 QTR261021 RDN261021 RNJ261021 RXF261021 SHB261021 SQX261021 TAT261021 TKP261021 TUL261021 UEH261021 UOD261021 UXZ261021 VHV261021 VRR261021 WBN261021 WLJ261021 WVF261021 E326558 IT326557 SP326557 ACL326557 AMH326557 AWD326557 BFZ326557 BPV326557 BZR326557 CJN326557 CTJ326557 DDF326557 DNB326557 DWX326557 EGT326557 EQP326557 FAL326557 FKH326557 FUD326557 GDZ326557 GNV326557 GXR326557 HHN326557 HRJ326557 IBF326557 ILB326557 IUX326557 JET326557 JOP326557 JYL326557 KIH326557 KSD326557 LBZ326557 LLV326557 LVR326557 MFN326557 MPJ326557 MZF326557 NJB326557 NSX326557 OCT326557 OMP326557 OWL326557 PGH326557 PQD326557 PZZ326557 QJV326557 QTR326557 RDN326557 RNJ326557 RXF326557 SHB326557 SQX326557 TAT326557 TKP326557 TUL326557 UEH326557 UOD326557 UXZ326557 VHV326557 VRR326557 WBN326557 WLJ326557 WVF326557 E392094 IT392093 SP392093 ACL392093 AMH392093 AWD392093 BFZ392093 BPV392093 BZR392093 CJN392093 CTJ392093 DDF392093 DNB392093 DWX392093 EGT392093 EQP392093 FAL392093 FKH392093 FUD392093 GDZ392093 GNV392093 GXR392093 HHN392093 HRJ392093 IBF392093 ILB392093 IUX392093 JET392093 JOP392093 JYL392093 KIH392093 KSD392093 LBZ392093 LLV392093 LVR392093 MFN392093 MPJ392093 MZF392093 NJB392093 NSX392093 OCT392093 OMP392093 OWL392093 PGH392093 PQD392093 PZZ392093 QJV392093 QTR392093 RDN392093 RNJ392093 RXF392093 SHB392093 SQX392093 TAT392093 TKP392093 TUL392093 UEH392093 UOD392093 UXZ392093 VHV392093 VRR392093 WBN392093 WLJ392093 WVF392093 E457630 IT457629 SP457629 ACL457629 AMH457629 AWD457629 BFZ457629 BPV457629 BZR457629 CJN457629 CTJ457629 DDF457629 DNB457629 DWX457629 EGT457629 EQP457629 FAL457629 FKH457629 FUD457629 GDZ457629 GNV457629 GXR457629 HHN457629 HRJ457629 IBF457629 ILB457629 IUX457629 JET457629 JOP457629 JYL457629 KIH457629 KSD457629 LBZ457629 LLV457629 LVR457629 MFN457629 MPJ457629 MZF457629 NJB457629 NSX457629 OCT457629 OMP457629 OWL457629 PGH457629 PQD457629 PZZ457629 QJV457629 QTR457629 RDN457629 RNJ457629 RXF457629 SHB457629 SQX457629 TAT457629 TKP457629 TUL457629 UEH457629 UOD457629 UXZ457629 VHV457629 VRR457629 WBN457629 WLJ457629 WVF457629 E523166 IT523165 SP523165 ACL523165 AMH523165 AWD523165 BFZ523165 BPV523165 BZR523165 CJN523165 CTJ523165 DDF523165 DNB523165 DWX523165 EGT523165 EQP523165 FAL523165 FKH523165 FUD523165 GDZ523165 GNV523165 GXR523165 HHN523165 HRJ523165 IBF523165 ILB523165 IUX523165 JET523165 JOP523165 JYL523165 KIH523165 KSD523165 LBZ523165 LLV523165 LVR523165 MFN523165 MPJ523165 MZF523165 NJB523165 NSX523165 OCT523165 OMP523165 OWL523165 PGH523165 PQD523165 PZZ523165 QJV523165 QTR523165 RDN523165 RNJ523165 RXF523165 SHB523165 SQX523165 TAT523165 TKP523165 TUL523165 UEH523165 UOD523165 UXZ523165 VHV523165 VRR523165 WBN523165 WLJ523165 WVF523165 E588702 IT588701 SP588701 ACL588701 AMH588701 AWD588701 BFZ588701 BPV588701 BZR588701 CJN588701 CTJ588701 DDF588701 DNB588701 DWX588701 EGT588701 EQP588701 FAL588701 FKH588701 FUD588701 GDZ588701 GNV588701 GXR588701 HHN588701 HRJ588701 IBF588701 ILB588701 IUX588701 JET588701 JOP588701 JYL588701 KIH588701 KSD588701 LBZ588701 LLV588701 LVR588701 MFN588701 MPJ588701 MZF588701 NJB588701 NSX588701 OCT588701 OMP588701 OWL588701 PGH588701 PQD588701 PZZ588701 QJV588701 QTR588701 RDN588701 RNJ588701 RXF588701 SHB588701 SQX588701 TAT588701 TKP588701 TUL588701 UEH588701 UOD588701 UXZ588701 VHV588701 VRR588701 WBN588701 WLJ588701 WVF588701 E654238 IT654237 SP654237 ACL654237 AMH654237 AWD654237 BFZ654237 BPV654237 BZR654237 CJN654237 CTJ654237 DDF654237 DNB654237 DWX654237 EGT654237 EQP654237 FAL654237 FKH654237 FUD654237 GDZ654237 GNV654237 GXR654237 HHN654237 HRJ654237 IBF654237 ILB654237 IUX654237 JET654237 JOP654237 JYL654237 KIH654237 KSD654237 LBZ654237 LLV654237 LVR654237 MFN654237 MPJ654237 MZF654237 NJB654237 NSX654237 OCT654237 OMP654237 OWL654237 PGH654237 PQD654237 PZZ654237 QJV654237 QTR654237 RDN654237 RNJ654237 RXF654237 SHB654237 SQX654237 TAT654237 TKP654237 TUL654237 UEH654237 UOD654237 UXZ654237 VHV654237 VRR654237 WBN654237 WLJ654237 WVF654237 E719774 IT719773 SP719773 ACL719773 AMH719773 AWD719773 BFZ719773 BPV719773 BZR719773 CJN719773 CTJ719773 DDF719773 DNB719773 DWX719773 EGT719773 EQP719773 FAL719773 FKH719773 FUD719773 GDZ719773 GNV719773 GXR719773 HHN719773 HRJ719773 IBF719773 ILB719773 IUX719773 JET719773 JOP719773 JYL719773 KIH719773 KSD719773 LBZ719773 LLV719773 LVR719773 MFN719773 MPJ719773 MZF719773 NJB719773 NSX719773 OCT719773 OMP719773 OWL719773 PGH719773 PQD719773 PZZ719773 QJV719773 QTR719773 RDN719773 RNJ719773 RXF719773 SHB719773 SQX719773 TAT719773 TKP719773 TUL719773 UEH719773 UOD719773 UXZ719773 VHV719773 VRR719773 WBN719773 WLJ719773 WVF719773 E785310 IT785309 SP785309 ACL785309 AMH785309 AWD785309 BFZ785309 BPV785309 BZR785309 CJN785309 CTJ785309 DDF785309 DNB785309 DWX785309 EGT785309 EQP785309 FAL785309 FKH785309 FUD785309 GDZ785309 GNV785309 GXR785309 HHN785309 HRJ785309 IBF785309 ILB785309 IUX785309 JET785309 JOP785309 JYL785309 KIH785309 KSD785309 LBZ785309 LLV785309 LVR785309 MFN785309 MPJ785309 MZF785309 NJB785309 NSX785309 OCT785309 OMP785309 OWL785309 PGH785309 PQD785309 PZZ785309 QJV785309 QTR785309 RDN785309 RNJ785309 RXF785309 SHB785309 SQX785309 TAT785309 TKP785309 TUL785309 UEH785309 UOD785309 UXZ785309 VHV785309 VRR785309 WBN785309 WLJ785309 WVF785309 E850846 IT850845 SP850845 ACL850845 AMH850845 AWD850845 BFZ850845 BPV850845 BZR850845 CJN850845 CTJ850845 DDF850845 DNB850845 DWX850845 EGT850845 EQP850845 FAL850845 FKH850845 FUD850845 GDZ850845 GNV850845 GXR850845 HHN850845 HRJ850845 IBF850845 ILB850845 IUX850845 JET850845 JOP850845 JYL850845 KIH850845 KSD850845 LBZ850845 LLV850845 LVR850845 MFN850845 MPJ850845 MZF850845 NJB850845 NSX850845 OCT850845 OMP850845 OWL850845 PGH850845 PQD850845 PZZ850845 QJV850845 QTR850845 RDN850845 RNJ850845 RXF850845 SHB850845 SQX850845 TAT850845 TKP850845 TUL850845 UEH850845 UOD850845 UXZ850845 VHV850845 VRR850845 WBN850845 WLJ850845 WVF850845 E916382 IT916381 SP916381 ACL916381 AMH916381 AWD916381 BFZ916381 BPV916381 BZR916381 CJN916381 CTJ916381 DDF916381 DNB916381 DWX916381 EGT916381 EQP916381 FAL916381 FKH916381 FUD916381 GDZ916381 GNV916381 GXR916381 HHN916381 HRJ916381 IBF916381 ILB916381 IUX916381 JET916381 JOP916381 JYL916381 KIH916381 KSD916381 LBZ916381 LLV916381 LVR916381 MFN916381 MPJ916381 MZF916381 NJB916381 NSX916381 OCT916381 OMP916381 OWL916381 PGH916381 PQD916381 PZZ916381 QJV916381 QTR916381 RDN916381 RNJ916381 RXF916381 SHB916381 SQX916381 TAT916381 TKP916381 TUL916381 UEH916381 UOD916381 UXZ916381 VHV916381 VRR916381 WBN916381 WLJ916381 WVF916381 E981918 IT981917 SP981917 ACL981917 AMH981917 AWD981917 BFZ981917 BPV981917 BZR981917 CJN981917 CTJ981917 DDF981917 DNB981917 DWX981917 EGT981917 EQP981917 FAL981917 FKH981917 FUD981917 GDZ981917 GNV981917 GXR981917 HHN981917 HRJ981917 IBF981917 ILB981917 IUX981917 JET981917 JOP981917 JYL981917 KIH981917 KSD981917 LBZ981917 LLV981917 LVR981917 MFN981917 MPJ981917 MZF981917 NJB981917 NSX981917 OCT981917 OMP981917 OWL981917 PGH981917 PQD981917 PZZ981917 QJV981917 QTR981917 RDN981917 RNJ981917 RXF981917 SHB981917 SQX981917 TAT981917 TKP981917 TUL981917 UEH981917 UOD981917 UXZ981917 VHV981917 VRR981917 WBN981917 WLJ981917 WVF981917</xm:sqref>
        </x14:dataValidation>
        <x14:dataValidation type="list" allowBlank="1" showInputMessage="1" showErrorMessage="1" xr:uid="{56BE9622-AB34-48CE-964D-8AC3F1A294D1}">
          <x14:formula1>
            <xm:f>'在庫チェック表(発注担当者用)'!$B$3:$B$77</xm:f>
          </x14:formula1>
          <xm:sqref>WVF981918:WVF982015 WLJ981918:WLJ982015 E64415:E64512 IT64414:IT64511 SP64414:SP64511 ACL64414:ACL64511 AMH64414:AMH64511 AWD64414:AWD64511 BFZ64414:BFZ64511 BPV64414:BPV64511 BZR64414:BZR64511 CJN64414:CJN64511 CTJ64414:CTJ64511 DDF64414:DDF64511 DNB64414:DNB64511 DWX64414:DWX64511 EGT64414:EGT64511 EQP64414:EQP64511 FAL64414:FAL64511 FKH64414:FKH64511 FUD64414:FUD64511 GDZ64414:GDZ64511 GNV64414:GNV64511 GXR64414:GXR64511 HHN64414:HHN64511 HRJ64414:HRJ64511 IBF64414:IBF64511 ILB64414:ILB64511 IUX64414:IUX64511 JET64414:JET64511 JOP64414:JOP64511 JYL64414:JYL64511 KIH64414:KIH64511 KSD64414:KSD64511 LBZ64414:LBZ64511 LLV64414:LLV64511 LVR64414:LVR64511 MFN64414:MFN64511 MPJ64414:MPJ64511 MZF64414:MZF64511 NJB64414:NJB64511 NSX64414:NSX64511 OCT64414:OCT64511 OMP64414:OMP64511 OWL64414:OWL64511 PGH64414:PGH64511 PQD64414:PQD64511 PZZ64414:PZZ64511 QJV64414:QJV64511 QTR64414:QTR64511 RDN64414:RDN64511 RNJ64414:RNJ64511 RXF64414:RXF64511 SHB64414:SHB64511 SQX64414:SQX64511 TAT64414:TAT64511 TKP64414:TKP64511 TUL64414:TUL64511 UEH64414:UEH64511 UOD64414:UOD64511 UXZ64414:UXZ64511 VHV64414:VHV64511 VRR64414:VRR64511 WBN64414:WBN64511 WLJ64414:WLJ64511 WVF64414:WVF64511 E129951:E130048 IT129950:IT130047 SP129950:SP130047 ACL129950:ACL130047 AMH129950:AMH130047 AWD129950:AWD130047 BFZ129950:BFZ130047 BPV129950:BPV130047 BZR129950:BZR130047 CJN129950:CJN130047 CTJ129950:CTJ130047 DDF129950:DDF130047 DNB129950:DNB130047 DWX129950:DWX130047 EGT129950:EGT130047 EQP129950:EQP130047 FAL129950:FAL130047 FKH129950:FKH130047 FUD129950:FUD130047 GDZ129950:GDZ130047 GNV129950:GNV130047 GXR129950:GXR130047 HHN129950:HHN130047 HRJ129950:HRJ130047 IBF129950:IBF130047 ILB129950:ILB130047 IUX129950:IUX130047 JET129950:JET130047 JOP129950:JOP130047 JYL129950:JYL130047 KIH129950:KIH130047 KSD129950:KSD130047 LBZ129950:LBZ130047 LLV129950:LLV130047 LVR129950:LVR130047 MFN129950:MFN130047 MPJ129950:MPJ130047 MZF129950:MZF130047 NJB129950:NJB130047 NSX129950:NSX130047 OCT129950:OCT130047 OMP129950:OMP130047 OWL129950:OWL130047 PGH129950:PGH130047 PQD129950:PQD130047 PZZ129950:PZZ130047 QJV129950:QJV130047 QTR129950:QTR130047 RDN129950:RDN130047 RNJ129950:RNJ130047 RXF129950:RXF130047 SHB129950:SHB130047 SQX129950:SQX130047 TAT129950:TAT130047 TKP129950:TKP130047 TUL129950:TUL130047 UEH129950:UEH130047 UOD129950:UOD130047 UXZ129950:UXZ130047 VHV129950:VHV130047 VRR129950:VRR130047 WBN129950:WBN130047 WLJ129950:WLJ130047 WVF129950:WVF130047 E195487:E195584 IT195486:IT195583 SP195486:SP195583 ACL195486:ACL195583 AMH195486:AMH195583 AWD195486:AWD195583 BFZ195486:BFZ195583 BPV195486:BPV195583 BZR195486:BZR195583 CJN195486:CJN195583 CTJ195486:CTJ195583 DDF195486:DDF195583 DNB195486:DNB195583 DWX195486:DWX195583 EGT195486:EGT195583 EQP195486:EQP195583 FAL195486:FAL195583 FKH195486:FKH195583 FUD195486:FUD195583 GDZ195486:GDZ195583 GNV195486:GNV195583 GXR195486:GXR195583 HHN195486:HHN195583 HRJ195486:HRJ195583 IBF195486:IBF195583 ILB195486:ILB195583 IUX195486:IUX195583 JET195486:JET195583 JOP195486:JOP195583 JYL195486:JYL195583 KIH195486:KIH195583 KSD195486:KSD195583 LBZ195486:LBZ195583 LLV195486:LLV195583 LVR195486:LVR195583 MFN195486:MFN195583 MPJ195486:MPJ195583 MZF195486:MZF195583 NJB195486:NJB195583 NSX195486:NSX195583 OCT195486:OCT195583 OMP195486:OMP195583 OWL195486:OWL195583 PGH195486:PGH195583 PQD195486:PQD195583 PZZ195486:PZZ195583 QJV195486:QJV195583 QTR195486:QTR195583 RDN195486:RDN195583 RNJ195486:RNJ195583 RXF195486:RXF195583 SHB195486:SHB195583 SQX195486:SQX195583 TAT195486:TAT195583 TKP195486:TKP195583 TUL195486:TUL195583 UEH195486:UEH195583 UOD195486:UOD195583 UXZ195486:UXZ195583 VHV195486:VHV195583 VRR195486:VRR195583 WBN195486:WBN195583 WLJ195486:WLJ195583 WVF195486:WVF195583 E261023:E261120 IT261022:IT261119 SP261022:SP261119 ACL261022:ACL261119 AMH261022:AMH261119 AWD261022:AWD261119 BFZ261022:BFZ261119 BPV261022:BPV261119 BZR261022:BZR261119 CJN261022:CJN261119 CTJ261022:CTJ261119 DDF261022:DDF261119 DNB261022:DNB261119 DWX261022:DWX261119 EGT261022:EGT261119 EQP261022:EQP261119 FAL261022:FAL261119 FKH261022:FKH261119 FUD261022:FUD261119 GDZ261022:GDZ261119 GNV261022:GNV261119 GXR261022:GXR261119 HHN261022:HHN261119 HRJ261022:HRJ261119 IBF261022:IBF261119 ILB261022:ILB261119 IUX261022:IUX261119 JET261022:JET261119 JOP261022:JOP261119 JYL261022:JYL261119 KIH261022:KIH261119 KSD261022:KSD261119 LBZ261022:LBZ261119 LLV261022:LLV261119 LVR261022:LVR261119 MFN261022:MFN261119 MPJ261022:MPJ261119 MZF261022:MZF261119 NJB261022:NJB261119 NSX261022:NSX261119 OCT261022:OCT261119 OMP261022:OMP261119 OWL261022:OWL261119 PGH261022:PGH261119 PQD261022:PQD261119 PZZ261022:PZZ261119 QJV261022:QJV261119 QTR261022:QTR261119 RDN261022:RDN261119 RNJ261022:RNJ261119 RXF261022:RXF261119 SHB261022:SHB261119 SQX261022:SQX261119 TAT261022:TAT261119 TKP261022:TKP261119 TUL261022:TUL261119 UEH261022:UEH261119 UOD261022:UOD261119 UXZ261022:UXZ261119 VHV261022:VHV261119 VRR261022:VRR261119 WBN261022:WBN261119 WLJ261022:WLJ261119 WVF261022:WVF261119 E326559:E326656 IT326558:IT326655 SP326558:SP326655 ACL326558:ACL326655 AMH326558:AMH326655 AWD326558:AWD326655 BFZ326558:BFZ326655 BPV326558:BPV326655 BZR326558:BZR326655 CJN326558:CJN326655 CTJ326558:CTJ326655 DDF326558:DDF326655 DNB326558:DNB326655 DWX326558:DWX326655 EGT326558:EGT326655 EQP326558:EQP326655 FAL326558:FAL326655 FKH326558:FKH326655 FUD326558:FUD326655 GDZ326558:GDZ326655 GNV326558:GNV326655 GXR326558:GXR326655 HHN326558:HHN326655 HRJ326558:HRJ326655 IBF326558:IBF326655 ILB326558:ILB326655 IUX326558:IUX326655 JET326558:JET326655 JOP326558:JOP326655 JYL326558:JYL326655 KIH326558:KIH326655 KSD326558:KSD326655 LBZ326558:LBZ326655 LLV326558:LLV326655 LVR326558:LVR326655 MFN326558:MFN326655 MPJ326558:MPJ326655 MZF326558:MZF326655 NJB326558:NJB326655 NSX326558:NSX326655 OCT326558:OCT326655 OMP326558:OMP326655 OWL326558:OWL326655 PGH326558:PGH326655 PQD326558:PQD326655 PZZ326558:PZZ326655 QJV326558:QJV326655 QTR326558:QTR326655 RDN326558:RDN326655 RNJ326558:RNJ326655 RXF326558:RXF326655 SHB326558:SHB326655 SQX326558:SQX326655 TAT326558:TAT326655 TKP326558:TKP326655 TUL326558:TUL326655 UEH326558:UEH326655 UOD326558:UOD326655 UXZ326558:UXZ326655 VHV326558:VHV326655 VRR326558:VRR326655 WBN326558:WBN326655 WLJ326558:WLJ326655 WVF326558:WVF326655 E392095:E392192 IT392094:IT392191 SP392094:SP392191 ACL392094:ACL392191 AMH392094:AMH392191 AWD392094:AWD392191 BFZ392094:BFZ392191 BPV392094:BPV392191 BZR392094:BZR392191 CJN392094:CJN392191 CTJ392094:CTJ392191 DDF392094:DDF392191 DNB392094:DNB392191 DWX392094:DWX392191 EGT392094:EGT392191 EQP392094:EQP392191 FAL392094:FAL392191 FKH392094:FKH392191 FUD392094:FUD392191 GDZ392094:GDZ392191 GNV392094:GNV392191 GXR392094:GXR392191 HHN392094:HHN392191 HRJ392094:HRJ392191 IBF392094:IBF392191 ILB392094:ILB392191 IUX392094:IUX392191 JET392094:JET392191 JOP392094:JOP392191 JYL392094:JYL392191 KIH392094:KIH392191 KSD392094:KSD392191 LBZ392094:LBZ392191 LLV392094:LLV392191 LVR392094:LVR392191 MFN392094:MFN392191 MPJ392094:MPJ392191 MZF392094:MZF392191 NJB392094:NJB392191 NSX392094:NSX392191 OCT392094:OCT392191 OMP392094:OMP392191 OWL392094:OWL392191 PGH392094:PGH392191 PQD392094:PQD392191 PZZ392094:PZZ392191 QJV392094:QJV392191 QTR392094:QTR392191 RDN392094:RDN392191 RNJ392094:RNJ392191 RXF392094:RXF392191 SHB392094:SHB392191 SQX392094:SQX392191 TAT392094:TAT392191 TKP392094:TKP392191 TUL392094:TUL392191 UEH392094:UEH392191 UOD392094:UOD392191 UXZ392094:UXZ392191 VHV392094:VHV392191 VRR392094:VRR392191 WBN392094:WBN392191 WLJ392094:WLJ392191 WVF392094:WVF392191 E457631:E457728 IT457630:IT457727 SP457630:SP457727 ACL457630:ACL457727 AMH457630:AMH457727 AWD457630:AWD457727 BFZ457630:BFZ457727 BPV457630:BPV457727 BZR457630:BZR457727 CJN457630:CJN457727 CTJ457630:CTJ457727 DDF457630:DDF457727 DNB457630:DNB457727 DWX457630:DWX457727 EGT457630:EGT457727 EQP457630:EQP457727 FAL457630:FAL457727 FKH457630:FKH457727 FUD457630:FUD457727 GDZ457630:GDZ457727 GNV457630:GNV457727 GXR457630:GXR457727 HHN457630:HHN457727 HRJ457630:HRJ457727 IBF457630:IBF457727 ILB457630:ILB457727 IUX457630:IUX457727 JET457630:JET457727 JOP457630:JOP457727 JYL457630:JYL457727 KIH457630:KIH457727 KSD457630:KSD457727 LBZ457630:LBZ457727 LLV457630:LLV457727 LVR457630:LVR457727 MFN457630:MFN457727 MPJ457630:MPJ457727 MZF457630:MZF457727 NJB457630:NJB457727 NSX457630:NSX457727 OCT457630:OCT457727 OMP457630:OMP457727 OWL457630:OWL457727 PGH457630:PGH457727 PQD457630:PQD457727 PZZ457630:PZZ457727 QJV457630:QJV457727 QTR457630:QTR457727 RDN457630:RDN457727 RNJ457630:RNJ457727 RXF457630:RXF457727 SHB457630:SHB457727 SQX457630:SQX457727 TAT457630:TAT457727 TKP457630:TKP457727 TUL457630:TUL457727 UEH457630:UEH457727 UOD457630:UOD457727 UXZ457630:UXZ457727 VHV457630:VHV457727 VRR457630:VRR457727 WBN457630:WBN457727 WLJ457630:WLJ457727 WVF457630:WVF457727 E523167:E523264 IT523166:IT523263 SP523166:SP523263 ACL523166:ACL523263 AMH523166:AMH523263 AWD523166:AWD523263 BFZ523166:BFZ523263 BPV523166:BPV523263 BZR523166:BZR523263 CJN523166:CJN523263 CTJ523166:CTJ523263 DDF523166:DDF523263 DNB523166:DNB523263 DWX523166:DWX523263 EGT523166:EGT523263 EQP523166:EQP523263 FAL523166:FAL523263 FKH523166:FKH523263 FUD523166:FUD523263 GDZ523166:GDZ523263 GNV523166:GNV523263 GXR523166:GXR523263 HHN523166:HHN523263 HRJ523166:HRJ523263 IBF523166:IBF523263 ILB523166:ILB523263 IUX523166:IUX523263 JET523166:JET523263 JOP523166:JOP523263 JYL523166:JYL523263 KIH523166:KIH523263 KSD523166:KSD523263 LBZ523166:LBZ523263 LLV523166:LLV523263 LVR523166:LVR523263 MFN523166:MFN523263 MPJ523166:MPJ523263 MZF523166:MZF523263 NJB523166:NJB523263 NSX523166:NSX523263 OCT523166:OCT523263 OMP523166:OMP523263 OWL523166:OWL523263 PGH523166:PGH523263 PQD523166:PQD523263 PZZ523166:PZZ523263 QJV523166:QJV523263 QTR523166:QTR523263 RDN523166:RDN523263 RNJ523166:RNJ523263 RXF523166:RXF523263 SHB523166:SHB523263 SQX523166:SQX523263 TAT523166:TAT523263 TKP523166:TKP523263 TUL523166:TUL523263 UEH523166:UEH523263 UOD523166:UOD523263 UXZ523166:UXZ523263 VHV523166:VHV523263 VRR523166:VRR523263 WBN523166:WBN523263 WLJ523166:WLJ523263 WVF523166:WVF523263 E588703:E588800 IT588702:IT588799 SP588702:SP588799 ACL588702:ACL588799 AMH588702:AMH588799 AWD588702:AWD588799 BFZ588702:BFZ588799 BPV588702:BPV588799 BZR588702:BZR588799 CJN588702:CJN588799 CTJ588702:CTJ588799 DDF588702:DDF588799 DNB588702:DNB588799 DWX588702:DWX588799 EGT588702:EGT588799 EQP588702:EQP588799 FAL588702:FAL588799 FKH588702:FKH588799 FUD588702:FUD588799 GDZ588702:GDZ588799 GNV588702:GNV588799 GXR588702:GXR588799 HHN588702:HHN588799 HRJ588702:HRJ588799 IBF588702:IBF588799 ILB588702:ILB588799 IUX588702:IUX588799 JET588702:JET588799 JOP588702:JOP588799 JYL588702:JYL588799 KIH588702:KIH588799 KSD588702:KSD588799 LBZ588702:LBZ588799 LLV588702:LLV588799 LVR588702:LVR588799 MFN588702:MFN588799 MPJ588702:MPJ588799 MZF588702:MZF588799 NJB588702:NJB588799 NSX588702:NSX588799 OCT588702:OCT588799 OMP588702:OMP588799 OWL588702:OWL588799 PGH588702:PGH588799 PQD588702:PQD588799 PZZ588702:PZZ588799 QJV588702:QJV588799 QTR588702:QTR588799 RDN588702:RDN588799 RNJ588702:RNJ588799 RXF588702:RXF588799 SHB588702:SHB588799 SQX588702:SQX588799 TAT588702:TAT588799 TKP588702:TKP588799 TUL588702:TUL588799 UEH588702:UEH588799 UOD588702:UOD588799 UXZ588702:UXZ588799 VHV588702:VHV588799 VRR588702:VRR588799 WBN588702:WBN588799 WLJ588702:WLJ588799 WVF588702:WVF588799 E654239:E654336 IT654238:IT654335 SP654238:SP654335 ACL654238:ACL654335 AMH654238:AMH654335 AWD654238:AWD654335 BFZ654238:BFZ654335 BPV654238:BPV654335 BZR654238:BZR654335 CJN654238:CJN654335 CTJ654238:CTJ654335 DDF654238:DDF654335 DNB654238:DNB654335 DWX654238:DWX654335 EGT654238:EGT654335 EQP654238:EQP654335 FAL654238:FAL654335 FKH654238:FKH654335 FUD654238:FUD654335 GDZ654238:GDZ654335 GNV654238:GNV654335 GXR654238:GXR654335 HHN654238:HHN654335 HRJ654238:HRJ654335 IBF654238:IBF654335 ILB654238:ILB654335 IUX654238:IUX654335 JET654238:JET654335 JOP654238:JOP654335 JYL654238:JYL654335 KIH654238:KIH654335 KSD654238:KSD654335 LBZ654238:LBZ654335 LLV654238:LLV654335 LVR654238:LVR654335 MFN654238:MFN654335 MPJ654238:MPJ654335 MZF654238:MZF654335 NJB654238:NJB654335 NSX654238:NSX654335 OCT654238:OCT654335 OMP654238:OMP654335 OWL654238:OWL654335 PGH654238:PGH654335 PQD654238:PQD654335 PZZ654238:PZZ654335 QJV654238:QJV654335 QTR654238:QTR654335 RDN654238:RDN654335 RNJ654238:RNJ654335 RXF654238:RXF654335 SHB654238:SHB654335 SQX654238:SQX654335 TAT654238:TAT654335 TKP654238:TKP654335 TUL654238:TUL654335 UEH654238:UEH654335 UOD654238:UOD654335 UXZ654238:UXZ654335 VHV654238:VHV654335 VRR654238:VRR654335 WBN654238:WBN654335 WLJ654238:WLJ654335 WVF654238:WVF654335 E719775:E719872 IT719774:IT719871 SP719774:SP719871 ACL719774:ACL719871 AMH719774:AMH719871 AWD719774:AWD719871 BFZ719774:BFZ719871 BPV719774:BPV719871 BZR719774:BZR719871 CJN719774:CJN719871 CTJ719774:CTJ719871 DDF719774:DDF719871 DNB719774:DNB719871 DWX719774:DWX719871 EGT719774:EGT719871 EQP719774:EQP719871 FAL719774:FAL719871 FKH719774:FKH719871 FUD719774:FUD719871 GDZ719774:GDZ719871 GNV719774:GNV719871 GXR719774:GXR719871 HHN719774:HHN719871 HRJ719774:HRJ719871 IBF719774:IBF719871 ILB719774:ILB719871 IUX719774:IUX719871 JET719774:JET719871 JOP719774:JOP719871 JYL719774:JYL719871 KIH719774:KIH719871 KSD719774:KSD719871 LBZ719774:LBZ719871 LLV719774:LLV719871 LVR719774:LVR719871 MFN719774:MFN719871 MPJ719774:MPJ719871 MZF719774:MZF719871 NJB719774:NJB719871 NSX719774:NSX719871 OCT719774:OCT719871 OMP719774:OMP719871 OWL719774:OWL719871 PGH719774:PGH719871 PQD719774:PQD719871 PZZ719774:PZZ719871 QJV719774:QJV719871 QTR719774:QTR719871 RDN719774:RDN719871 RNJ719774:RNJ719871 RXF719774:RXF719871 SHB719774:SHB719871 SQX719774:SQX719871 TAT719774:TAT719871 TKP719774:TKP719871 TUL719774:TUL719871 UEH719774:UEH719871 UOD719774:UOD719871 UXZ719774:UXZ719871 VHV719774:VHV719871 VRR719774:VRR719871 WBN719774:WBN719871 WLJ719774:WLJ719871 WVF719774:WVF719871 E785311:E785408 IT785310:IT785407 SP785310:SP785407 ACL785310:ACL785407 AMH785310:AMH785407 AWD785310:AWD785407 BFZ785310:BFZ785407 BPV785310:BPV785407 BZR785310:BZR785407 CJN785310:CJN785407 CTJ785310:CTJ785407 DDF785310:DDF785407 DNB785310:DNB785407 DWX785310:DWX785407 EGT785310:EGT785407 EQP785310:EQP785407 FAL785310:FAL785407 FKH785310:FKH785407 FUD785310:FUD785407 GDZ785310:GDZ785407 GNV785310:GNV785407 GXR785310:GXR785407 HHN785310:HHN785407 HRJ785310:HRJ785407 IBF785310:IBF785407 ILB785310:ILB785407 IUX785310:IUX785407 JET785310:JET785407 JOP785310:JOP785407 JYL785310:JYL785407 KIH785310:KIH785407 KSD785310:KSD785407 LBZ785310:LBZ785407 LLV785310:LLV785407 LVR785310:LVR785407 MFN785310:MFN785407 MPJ785310:MPJ785407 MZF785310:MZF785407 NJB785310:NJB785407 NSX785310:NSX785407 OCT785310:OCT785407 OMP785310:OMP785407 OWL785310:OWL785407 PGH785310:PGH785407 PQD785310:PQD785407 PZZ785310:PZZ785407 QJV785310:QJV785407 QTR785310:QTR785407 RDN785310:RDN785407 RNJ785310:RNJ785407 RXF785310:RXF785407 SHB785310:SHB785407 SQX785310:SQX785407 TAT785310:TAT785407 TKP785310:TKP785407 TUL785310:TUL785407 UEH785310:UEH785407 UOD785310:UOD785407 UXZ785310:UXZ785407 VHV785310:VHV785407 VRR785310:VRR785407 WBN785310:WBN785407 WLJ785310:WLJ785407 WVF785310:WVF785407 E850847:E850944 IT850846:IT850943 SP850846:SP850943 ACL850846:ACL850943 AMH850846:AMH850943 AWD850846:AWD850943 BFZ850846:BFZ850943 BPV850846:BPV850943 BZR850846:BZR850943 CJN850846:CJN850943 CTJ850846:CTJ850943 DDF850846:DDF850943 DNB850846:DNB850943 DWX850846:DWX850943 EGT850846:EGT850943 EQP850846:EQP850943 FAL850846:FAL850943 FKH850846:FKH850943 FUD850846:FUD850943 GDZ850846:GDZ850943 GNV850846:GNV850943 GXR850846:GXR850943 HHN850846:HHN850943 HRJ850846:HRJ850943 IBF850846:IBF850943 ILB850846:ILB850943 IUX850846:IUX850943 JET850846:JET850943 JOP850846:JOP850943 JYL850846:JYL850943 KIH850846:KIH850943 KSD850846:KSD850943 LBZ850846:LBZ850943 LLV850846:LLV850943 LVR850846:LVR850943 MFN850846:MFN850943 MPJ850846:MPJ850943 MZF850846:MZF850943 NJB850846:NJB850943 NSX850846:NSX850943 OCT850846:OCT850943 OMP850846:OMP850943 OWL850846:OWL850943 PGH850846:PGH850943 PQD850846:PQD850943 PZZ850846:PZZ850943 QJV850846:QJV850943 QTR850846:QTR850943 RDN850846:RDN850943 RNJ850846:RNJ850943 RXF850846:RXF850943 SHB850846:SHB850943 SQX850846:SQX850943 TAT850846:TAT850943 TKP850846:TKP850943 TUL850846:TUL850943 UEH850846:UEH850943 UOD850846:UOD850943 UXZ850846:UXZ850943 VHV850846:VHV850943 VRR850846:VRR850943 WBN850846:WBN850943 WLJ850846:WLJ850943 WVF850846:WVF850943 E916383:E916480 IT916382:IT916479 SP916382:SP916479 ACL916382:ACL916479 AMH916382:AMH916479 AWD916382:AWD916479 BFZ916382:BFZ916479 BPV916382:BPV916479 BZR916382:BZR916479 CJN916382:CJN916479 CTJ916382:CTJ916479 DDF916382:DDF916479 DNB916382:DNB916479 DWX916382:DWX916479 EGT916382:EGT916479 EQP916382:EQP916479 FAL916382:FAL916479 FKH916382:FKH916479 FUD916382:FUD916479 GDZ916382:GDZ916479 GNV916382:GNV916479 GXR916382:GXR916479 HHN916382:HHN916479 HRJ916382:HRJ916479 IBF916382:IBF916479 ILB916382:ILB916479 IUX916382:IUX916479 JET916382:JET916479 JOP916382:JOP916479 JYL916382:JYL916479 KIH916382:KIH916479 KSD916382:KSD916479 LBZ916382:LBZ916479 LLV916382:LLV916479 LVR916382:LVR916479 MFN916382:MFN916479 MPJ916382:MPJ916479 MZF916382:MZF916479 NJB916382:NJB916479 NSX916382:NSX916479 OCT916382:OCT916479 OMP916382:OMP916479 OWL916382:OWL916479 PGH916382:PGH916479 PQD916382:PQD916479 PZZ916382:PZZ916479 QJV916382:QJV916479 QTR916382:QTR916479 RDN916382:RDN916479 RNJ916382:RNJ916479 RXF916382:RXF916479 SHB916382:SHB916479 SQX916382:SQX916479 TAT916382:TAT916479 TKP916382:TKP916479 TUL916382:TUL916479 UEH916382:UEH916479 UOD916382:UOD916479 UXZ916382:UXZ916479 VHV916382:VHV916479 VRR916382:VRR916479 WBN916382:WBN916479 WLJ916382:WLJ916479 WVF916382:WVF916479 E981919:E982016 IT981918:IT982015 SP981918:SP982015 ACL981918:ACL982015 AMH981918:AMH982015 AWD981918:AWD982015 BFZ981918:BFZ982015 BPV981918:BPV982015 BZR981918:BZR982015 CJN981918:CJN982015 CTJ981918:CTJ982015 DDF981918:DDF982015 DNB981918:DNB982015 DWX981918:DWX982015 EGT981918:EGT982015 EQP981918:EQP982015 FAL981918:FAL982015 FKH981918:FKH982015 FUD981918:FUD982015 GDZ981918:GDZ982015 GNV981918:GNV982015 GXR981918:GXR982015 HHN981918:HHN982015 HRJ981918:HRJ982015 IBF981918:IBF982015 ILB981918:ILB982015 IUX981918:IUX982015 JET981918:JET982015 JOP981918:JOP982015 JYL981918:JYL982015 KIH981918:KIH982015 KSD981918:KSD982015 LBZ981918:LBZ982015 LLV981918:LLV982015 LVR981918:LVR982015 MFN981918:MFN982015 MPJ981918:MPJ982015 MZF981918:MZF982015 NJB981918:NJB982015 NSX981918:NSX982015 OCT981918:OCT982015 OMP981918:OMP982015 OWL981918:OWL982015 PGH981918:PGH982015 PQD981918:PQD982015 PZZ981918:PZZ982015 QJV981918:QJV982015 QTR981918:QTR982015 RDN981918:RDN982015 RNJ981918:RNJ982015 RXF981918:RXF982015 SHB981918:SHB982015 SQX981918:SQX982015 TAT981918:TAT982015 TKP981918:TKP982015 TUL981918:TUL982015 UEH981918:UEH982015 UOD981918:UOD982015 UXZ981918:UXZ982015 VHV981918:VHV982015 VRR981918:VRR982015 WBN981918:WBN982015 WVF5:WVF27 WLJ5:WLJ27 WBN5:WBN27 VRR5:VRR27 VHV5:VHV27 UXZ5:UXZ27 UOD5:UOD27 UEH5:UEH27 TUL5:TUL27 TKP5:TKP27 TAT5:TAT27 SQX5:SQX27 SHB5:SHB27 RXF5:RXF27 RNJ5:RNJ27 RDN5:RDN27 QTR5:QTR27 QJV5:QJV27 PZZ5:PZZ27 PQD5:PQD27 PGH5:PGH27 OWL5:OWL27 OMP5:OMP27 OCT5:OCT27 NSX5:NSX27 NJB5:NJB27 MZF5:MZF27 MPJ5:MPJ27 MFN5:MFN27 LVR5:LVR27 LLV5:LLV27 LBZ5:LBZ27 KSD5:KSD27 KIH5:KIH27 JYL5:JYL27 JOP5:JOP27 JET5:JET27 IUX5:IUX27 ILB5:ILB27 IBF5:IBF27 HRJ5:HRJ27 HHN5:HHN27 GXR5:GXR27 GNV5:GNV27 GDZ5:GDZ27 FUD5:FUD27 FKH5:FKH27 FAL5:FAL27 EQP5:EQP27 EGT5:EGT27 DWX5:DWX27 DNB5:DNB27 DDF5:DDF27 CTJ5:CTJ27 CJN5:CJN27 BZR5:BZR27 BPV5:BPV27 BFZ5:BFZ27 AWD5:AWD27 AMH5:AMH27 ACL5:ACL27 SP5:SP27 IT5:IT27</xm:sqref>
        </x14:dataValidation>
        <x14:dataValidation type="list" allowBlank="1" showInputMessage="1" showErrorMessage="1" xr:uid="{703AEC44-AF40-490D-BB83-5721F5601EDB}">
          <x14:formula1>
            <xm:f>'在庫チェック表(発注担当者用)'!$B$2:$B$69</xm:f>
          </x14:formula1>
          <xm:sqref>E5:E28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58E7-622C-42D8-8CBC-E2225F2E6DCA}">
  <sheetPr codeName="Sheet2"/>
  <dimension ref="A1:Q77"/>
  <sheetViews>
    <sheetView tabSelected="1" workbookViewId="0">
      <pane ySplit="2" topLeftCell="A23" activePane="bottomLeft" state="frozen"/>
      <selection pane="bottomLeft" activeCell="M12" sqref="M12"/>
    </sheetView>
  </sheetViews>
  <sheetFormatPr defaultRowHeight="13.3"/>
  <cols>
    <col min="2" max="2" width="24" bestFit="1" customWidth="1"/>
    <col min="3" max="3" width="5.3828125" customWidth="1"/>
    <col min="4" max="4" width="9.23046875" customWidth="1"/>
    <col min="5" max="5" width="5.765625" customWidth="1"/>
    <col min="7" max="7" width="13.765625" customWidth="1"/>
    <col min="8" max="10" width="9" customWidth="1"/>
    <col min="11" max="11" width="22" bestFit="1" customWidth="1"/>
    <col min="13" max="13" width="9.4609375" bestFit="1" customWidth="1"/>
    <col min="258" max="258" width="24" bestFit="1" customWidth="1"/>
    <col min="259" max="259" width="5.3828125" customWidth="1"/>
    <col min="260" max="261" width="0" hidden="1" customWidth="1"/>
    <col min="263" max="263" width="13.765625" bestFit="1" customWidth="1"/>
    <col min="267" max="267" width="22" bestFit="1" customWidth="1"/>
    <col min="514" max="514" width="24" bestFit="1" customWidth="1"/>
    <col min="515" max="515" width="5.3828125" customWidth="1"/>
    <col min="516" max="517" width="0" hidden="1" customWidth="1"/>
    <col min="519" max="519" width="13.765625" bestFit="1" customWidth="1"/>
    <col min="523" max="523" width="22" bestFit="1" customWidth="1"/>
    <col min="770" max="770" width="24" bestFit="1" customWidth="1"/>
    <col min="771" max="771" width="5.3828125" customWidth="1"/>
    <col min="772" max="773" width="0" hidden="1" customWidth="1"/>
    <col min="775" max="775" width="13.765625" bestFit="1" customWidth="1"/>
    <col min="779" max="779" width="22" bestFit="1" customWidth="1"/>
    <col min="1026" max="1026" width="24" bestFit="1" customWidth="1"/>
    <col min="1027" max="1027" width="5.3828125" customWidth="1"/>
    <col min="1028" max="1029" width="0" hidden="1" customWidth="1"/>
    <col min="1031" max="1031" width="13.765625" bestFit="1" customWidth="1"/>
    <col min="1035" max="1035" width="22" bestFit="1" customWidth="1"/>
    <col min="1282" max="1282" width="24" bestFit="1" customWidth="1"/>
    <col min="1283" max="1283" width="5.3828125" customWidth="1"/>
    <col min="1284" max="1285" width="0" hidden="1" customWidth="1"/>
    <col min="1287" max="1287" width="13.765625" bestFit="1" customWidth="1"/>
    <col min="1291" max="1291" width="22" bestFit="1" customWidth="1"/>
    <col min="1538" max="1538" width="24" bestFit="1" customWidth="1"/>
    <col min="1539" max="1539" width="5.3828125" customWidth="1"/>
    <col min="1540" max="1541" width="0" hidden="1" customWidth="1"/>
    <col min="1543" max="1543" width="13.765625" bestFit="1" customWidth="1"/>
    <col min="1547" max="1547" width="22" bestFit="1" customWidth="1"/>
    <col min="1794" max="1794" width="24" bestFit="1" customWidth="1"/>
    <col min="1795" max="1795" width="5.3828125" customWidth="1"/>
    <col min="1796" max="1797" width="0" hidden="1" customWidth="1"/>
    <col min="1799" max="1799" width="13.765625" bestFit="1" customWidth="1"/>
    <col min="1803" max="1803" width="22" bestFit="1" customWidth="1"/>
    <col min="2050" max="2050" width="24" bestFit="1" customWidth="1"/>
    <col min="2051" max="2051" width="5.3828125" customWidth="1"/>
    <col min="2052" max="2053" width="0" hidden="1" customWidth="1"/>
    <col min="2055" max="2055" width="13.765625" bestFit="1" customWidth="1"/>
    <col min="2059" max="2059" width="22" bestFit="1" customWidth="1"/>
    <col min="2306" max="2306" width="24" bestFit="1" customWidth="1"/>
    <col min="2307" max="2307" width="5.3828125" customWidth="1"/>
    <col min="2308" max="2309" width="0" hidden="1" customWidth="1"/>
    <col min="2311" max="2311" width="13.765625" bestFit="1" customWidth="1"/>
    <col min="2315" max="2315" width="22" bestFit="1" customWidth="1"/>
    <col min="2562" max="2562" width="24" bestFit="1" customWidth="1"/>
    <col min="2563" max="2563" width="5.3828125" customWidth="1"/>
    <col min="2564" max="2565" width="0" hidden="1" customWidth="1"/>
    <col min="2567" max="2567" width="13.765625" bestFit="1" customWidth="1"/>
    <col min="2571" max="2571" width="22" bestFit="1" customWidth="1"/>
    <col min="2818" max="2818" width="24" bestFit="1" customWidth="1"/>
    <col min="2819" max="2819" width="5.3828125" customWidth="1"/>
    <col min="2820" max="2821" width="0" hidden="1" customWidth="1"/>
    <col min="2823" max="2823" width="13.765625" bestFit="1" customWidth="1"/>
    <col min="2827" max="2827" width="22" bestFit="1" customWidth="1"/>
    <col min="3074" max="3074" width="24" bestFit="1" customWidth="1"/>
    <col min="3075" max="3075" width="5.3828125" customWidth="1"/>
    <col min="3076" max="3077" width="0" hidden="1" customWidth="1"/>
    <col min="3079" max="3079" width="13.765625" bestFit="1" customWidth="1"/>
    <col min="3083" max="3083" width="22" bestFit="1" customWidth="1"/>
    <col min="3330" max="3330" width="24" bestFit="1" customWidth="1"/>
    <col min="3331" max="3331" width="5.3828125" customWidth="1"/>
    <col min="3332" max="3333" width="0" hidden="1" customWidth="1"/>
    <col min="3335" max="3335" width="13.765625" bestFit="1" customWidth="1"/>
    <col min="3339" max="3339" width="22" bestFit="1" customWidth="1"/>
    <col min="3586" max="3586" width="24" bestFit="1" customWidth="1"/>
    <col min="3587" max="3587" width="5.3828125" customWidth="1"/>
    <col min="3588" max="3589" width="0" hidden="1" customWidth="1"/>
    <col min="3591" max="3591" width="13.765625" bestFit="1" customWidth="1"/>
    <col min="3595" max="3595" width="22" bestFit="1" customWidth="1"/>
    <col min="3842" max="3842" width="24" bestFit="1" customWidth="1"/>
    <col min="3843" max="3843" width="5.3828125" customWidth="1"/>
    <col min="3844" max="3845" width="0" hidden="1" customWidth="1"/>
    <col min="3847" max="3847" width="13.765625" bestFit="1" customWidth="1"/>
    <col min="3851" max="3851" width="22" bestFit="1" customWidth="1"/>
    <col min="4098" max="4098" width="24" bestFit="1" customWidth="1"/>
    <col min="4099" max="4099" width="5.3828125" customWidth="1"/>
    <col min="4100" max="4101" width="0" hidden="1" customWidth="1"/>
    <col min="4103" max="4103" width="13.765625" bestFit="1" customWidth="1"/>
    <col min="4107" max="4107" width="22" bestFit="1" customWidth="1"/>
    <col min="4354" max="4354" width="24" bestFit="1" customWidth="1"/>
    <col min="4355" max="4355" width="5.3828125" customWidth="1"/>
    <col min="4356" max="4357" width="0" hidden="1" customWidth="1"/>
    <col min="4359" max="4359" width="13.765625" bestFit="1" customWidth="1"/>
    <col min="4363" max="4363" width="22" bestFit="1" customWidth="1"/>
    <col min="4610" max="4610" width="24" bestFit="1" customWidth="1"/>
    <col min="4611" max="4611" width="5.3828125" customWidth="1"/>
    <col min="4612" max="4613" width="0" hidden="1" customWidth="1"/>
    <col min="4615" max="4615" width="13.765625" bestFit="1" customWidth="1"/>
    <col min="4619" max="4619" width="22" bestFit="1" customWidth="1"/>
    <col min="4866" max="4866" width="24" bestFit="1" customWidth="1"/>
    <col min="4867" max="4867" width="5.3828125" customWidth="1"/>
    <col min="4868" max="4869" width="0" hidden="1" customWidth="1"/>
    <col min="4871" max="4871" width="13.765625" bestFit="1" customWidth="1"/>
    <col min="4875" max="4875" width="22" bestFit="1" customWidth="1"/>
    <col min="5122" max="5122" width="24" bestFit="1" customWidth="1"/>
    <col min="5123" max="5123" width="5.3828125" customWidth="1"/>
    <col min="5124" max="5125" width="0" hidden="1" customWidth="1"/>
    <col min="5127" max="5127" width="13.765625" bestFit="1" customWidth="1"/>
    <col min="5131" max="5131" width="22" bestFit="1" customWidth="1"/>
    <col min="5378" max="5378" width="24" bestFit="1" customWidth="1"/>
    <col min="5379" max="5379" width="5.3828125" customWidth="1"/>
    <col min="5380" max="5381" width="0" hidden="1" customWidth="1"/>
    <col min="5383" max="5383" width="13.765625" bestFit="1" customWidth="1"/>
    <col min="5387" max="5387" width="22" bestFit="1" customWidth="1"/>
    <col min="5634" max="5634" width="24" bestFit="1" customWidth="1"/>
    <col min="5635" max="5635" width="5.3828125" customWidth="1"/>
    <col min="5636" max="5637" width="0" hidden="1" customWidth="1"/>
    <col min="5639" max="5639" width="13.765625" bestFit="1" customWidth="1"/>
    <col min="5643" max="5643" width="22" bestFit="1" customWidth="1"/>
    <col min="5890" max="5890" width="24" bestFit="1" customWidth="1"/>
    <col min="5891" max="5891" width="5.3828125" customWidth="1"/>
    <col min="5892" max="5893" width="0" hidden="1" customWidth="1"/>
    <col min="5895" max="5895" width="13.765625" bestFit="1" customWidth="1"/>
    <col min="5899" max="5899" width="22" bestFit="1" customWidth="1"/>
    <col min="6146" max="6146" width="24" bestFit="1" customWidth="1"/>
    <col min="6147" max="6147" width="5.3828125" customWidth="1"/>
    <col min="6148" max="6149" width="0" hidden="1" customWidth="1"/>
    <col min="6151" max="6151" width="13.765625" bestFit="1" customWidth="1"/>
    <col min="6155" max="6155" width="22" bestFit="1" customWidth="1"/>
    <col min="6402" max="6402" width="24" bestFit="1" customWidth="1"/>
    <col min="6403" max="6403" width="5.3828125" customWidth="1"/>
    <col min="6404" max="6405" width="0" hidden="1" customWidth="1"/>
    <col min="6407" max="6407" width="13.765625" bestFit="1" customWidth="1"/>
    <col min="6411" max="6411" width="22" bestFit="1" customWidth="1"/>
    <col min="6658" max="6658" width="24" bestFit="1" customWidth="1"/>
    <col min="6659" max="6659" width="5.3828125" customWidth="1"/>
    <col min="6660" max="6661" width="0" hidden="1" customWidth="1"/>
    <col min="6663" max="6663" width="13.765625" bestFit="1" customWidth="1"/>
    <col min="6667" max="6667" width="22" bestFit="1" customWidth="1"/>
    <col min="6914" max="6914" width="24" bestFit="1" customWidth="1"/>
    <col min="6915" max="6915" width="5.3828125" customWidth="1"/>
    <col min="6916" max="6917" width="0" hidden="1" customWidth="1"/>
    <col min="6919" max="6919" width="13.765625" bestFit="1" customWidth="1"/>
    <col min="6923" max="6923" width="22" bestFit="1" customWidth="1"/>
    <col min="7170" max="7170" width="24" bestFit="1" customWidth="1"/>
    <col min="7171" max="7171" width="5.3828125" customWidth="1"/>
    <col min="7172" max="7173" width="0" hidden="1" customWidth="1"/>
    <col min="7175" max="7175" width="13.765625" bestFit="1" customWidth="1"/>
    <col min="7179" max="7179" width="22" bestFit="1" customWidth="1"/>
    <col min="7426" max="7426" width="24" bestFit="1" customWidth="1"/>
    <col min="7427" max="7427" width="5.3828125" customWidth="1"/>
    <col min="7428" max="7429" width="0" hidden="1" customWidth="1"/>
    <col min="7431" max="7431" width="13.765625" bestFit="1" customWidth="1"/>
    <col min="7435" max="7435" width="22" bestFit="1" customWidth="1"/>
    <col min="7682" max="7682" width="24" bestFit="1" customWidth="1"/>
    <col min="7683" max="7683" width="5.3828125" customWidth="1"/>
    <col min="7684" max="7685" width="0" hidden="1" customWidth="1"/>
    <col min="7687" max="7687" width="13.765625" bestFit="1" customWidth="1"/>
    <col min="7691" max="7691" width="22" bestFit="1" customWidth="1"/>
    <col min="7938" max="7938" width="24" bestFit="1" customWidth="1"/>
    <col min="7939" max="7939" width="5.3828125" customWidth="1"/>
    <col min="7940" max="7941" width="0" hidden="1" customWidth="1"/>
    <col min="7943" max="7943" width="13.765625" bestFit="1" customWidth="1"/>
    <col min="7947" max="7947" width="22" bestFit="1" customWidth="1"/>
    <col min="8194" max="8194" width="24" bestFit="1" customWidth="1"/>
    <col min="8195" max="8195" width="5.3828125" customWidth="1"/>
    <col min="8196" max="8197" width="0" hidden="1" customWidth="1"/>
    <col min="8199" max="8199" width="13.765625" bestFit="1" customWidth="1"/>
    <col min="8203" max="8203" width="22" bestFit="1" customWidth="1"/>
    <col min="8450" max="8450" width="24" bestFit="1" customWidth="1"/>
    <col min="8451" max="8451" width="5.3828125" customWidth="1"/>
    <col min="8452" max="8453" width="0" hidden="1" customWidth="1"/>
    <col min="8455" max="8455" width="13.765625" bestFit="1" customWidth="1"/>
    <col min="8459" max="8459" width="22" bestFit="1" customWidth="1"/>
    <col min="8706" max="8706" width="24" bestFit="1" customWidth="1"/>
    <col min="8707" max="8707" width="5.3828125" customWidth="1"/>
    <col min="8708" max="8709" width="0" hidden="1" customWidth="1"/>
    <col min="8711" max="8711" width="13.765625" bestFit="1" customWidth="1"/>
    <col min="8715" max="8715" width="22" bestFit="1" customWidth="1"/>
    <col min="8962" max="8962" width="24" bestFit="1" customWidth="1"/>
    <col min="8963" max="8963" width="5.3828125" customWidth="1"/>
    <col min="8964" max="8965" width="0" hidden="1" customWidth="1"/>
    <col min="8967" max="8967" width="13.765625" bestFit="1" customWidth="1"/>
    <col min="8971" max="8971" width="22" bestFit="1" customWidth="1"/>
    <col min="9218" max="9218" width="24" bestFit="1" customWidth="1"/>
    <col min="9219" max="9219" width="5.3828125" customWidth="1"/>
    <col min="9220" max="9221" width="0" hidden="1" customWidth="1"/>
    <col min="9223" max="9223" width="13.765625" bestFit="1" customWidth="1"/>
    <col min="9227" max="9227" width="22" bestFit="1" customWidth="1"/>
    <col min="9474" max="9474" width="24" bestFit="1" customWidth="1"/>
    <col min="9475" max="9475" width="5.3828125" customWidth="1"/>
    <col min="9476" max="9477" width="0" hidden="1" customWidth="1"/>
    <col min="9479" max="9479" width="13.765625" bestFit="1" customWidth="1"/>
    <col min="9483" max="9483" width="22" bestFit="1" customWidth="1"/>
    <col min="9730" max="9730" width="24" bestFit="1" customWidth="1"/>
    <col min="9731" max="9731" width="5.3828125" customWidth="1"/>
    <col min="9732" max="9733" width="0" hidden="1" customWidth="1"/>
    <col min="9735" max="9735" width="13.765625" bestFit="1" customWidth="1"/>
    <col min="9739" max="9739" width="22" bestFit="1" customWidth="1"/>
    <col min="9986" max="9986" width="24" bestFit="1" customWidth="1"/>
    <col min="9987" max="9987" width="5.3828125" customWidth="1"/>
    <col min="9988" max="9989" width="0" hidden="1" customWidth="1"/>
    <col min="9991" max="9991" width="13.765625" bestFit="1" customWidth="1"/>
    <col min="9995" max="9995" width="22" bestFit="1" customWidth="1"/>
    <col min="10242" max="10242" width="24" bestFit="1" customWidth="1"/>
    <col min="10243" max="10243" width="5.3828125" customWidth="1"/>
    <col min="10244" max="10245" width="0" hidden="1" customWidth="1"/>
    <col min="10247" max="10247" width="13.765625" bestFit="1" customWidth="1"/>
    <col min="10251" max="10251" width="22" bestFit="1" customWidth="1"/>
    <col min="10498" max="10498" width="24" bestFit="1" customWidth="1"/>
    <col min="10499" max="10499" width="5.3828125" customWidth="1"/>
    <col min="10500" max="10501" width="0" hidden="1" customWidth="1"/>
    <col min="10503" max="10503" width="13.765625" bestFit="1" customWidth="1"/>
    <col min="10507" max="10507" width="22" bestFit="1" customWidth="1"/>
    <col min="10754" max="10754" width="24" bestFit="1" customWidth="1"/>
    <col min="10755" max="10755" width="5.3828125" customWidth="1"/>
    <col min="10756" max="10757" width="0" hidden="1" customWidth="1"/>
    <col min="10759" max="10759" width="13.765625" bestFit="1" customWidth="1"/>
    <col min="10763" max="10763" width="22" bestFit="1" customWidth="1"/>
    <col min="11010" max="11010" width="24" bestFit="1" customWidth="1"/>
    <col min="11011" max="11011" width="5.3828125" customWidth="1"/>
    <col min="11012" max="11013" width="0" hidden="1" customWidth="1"/>
    <col min="11015" max="11015" width="13.765625" bestFit="1" customWidth="1"/>
    <col min="11019" max="11019" width="22" bestFit="1" customWidth="1"/>
    <col min="11266" max="11266" width="24" bestFit="1" customWidth="1"/>
    <col min="11267" max="11267" width="5.3828125" customWidth="1"/>
    <col min="11268" max="11269" width="0" hidden="1" customWidth="1"/>
    <col min="11271" max="11271" width="13.765625" bestFit="1" customWidth="1"/>
    <col min="11275" max="11275" width="22" bestFit="1" customWidth="1"/>
    <col min="11522" max="11522" width="24" bestFit="1" customWidth="1"/>
    <col min="11523" max="11523" width="5.3828125" customWidth="1"/>
    <col min="11524" max="11525" width="0" hidden="1" customWidth="1"/>
    <col min="11527" max="11527" width="13.765625" bestFit="1" customWidth="1"/>
    <col min="11531" max="11531" width="22" bestFit="1" customWidth="1"/>
    <col min="11778" max="11778" width="24" bestFit="1" customWidth="1"/>
    <col min="11779" max="11779" width="5.3828125" customWidth="1"/>
    <col min="11780" max="11781" width="0" hidden="1" customWidth="1"/>
    <col min="11783" max="11783" width="13.765625" bestFit="1" customWidth="1"/>
    <col min="11787" max="11787" width="22" bestFit="1" customWidth="1"/>
    <col min="12034" max="12034" width="24" bestFit="1" customWidth="1"/>
    <col min="12035" max="12035" width="5.3828125" customWidth="1"/>
    <col min="12036" max="12037" width="0" hidden="1" customWidth="1"/>
    <col min="12039" max="12039" width="13.765625" bestFit="1" customWidth="1"/>
    <col min="12043" max="12043" width="22" bestFit="1" customWidth="1"/>
    <col min="12290" max="12290" width="24" bestFit="1" customWidth="1"/>
    <col min="12291" max="12291" width="5.3828125" customWidth="1"/>
    <col min="12292" max="12293" width="0" hidden="1" customWidth="1"/>
    <col min="12295" max="12295" width="13.765625" bestFit="1" customWidth="1"/>
    <col min="12299" max="12299" width="22" bestFit="1" customWidth="1"/>
    <col min="12546" max="12546" width="24" bestFit="1" customWidth="1"/>
    <col min="12547" max="12547" width="5.3828125" customWidth="1"/>
    <col min="12548" max="12549" width="0" hidden="1" customWidth="1"/>
    <col min="12551" max="12551" width="13.765625" bestFit="1" customWidth="1"/>
    <col min="12555" max="12555" width="22" bestFit="1" customWidth="1"/>
    <col min="12802" max="12802" width="24" bestFit="1" customWidth="1"/>
    <col min="12803" max="12803" width="5.3828125" customWidth="1"/>
    <col min="12804" max="12805" width="0" hidden="1" customWidth="1"/>
    <col min="12807" max="12807" width="13.765625" bestFit="1" customWidth="1"/>
    <col min="12811" max="12811" width="22" bestFit="1" customWidth="1"/>
    <col min="13058" max="13058" width="24" bestFit="1" customWidth="1"/>
    <col min="13059" max="13059" width="5.3828125" customWidth="1"/>
    <col min="13060" max="13061" width="0" hidden="1" customWidth="1"/>
    <col min="13063" max="13063" width="13.765625" bestFit="1" customWidth="1"/>
    <col min="13067" max="13067" width="22" bestFit="1" customWidth="1"/>
    <col min="13314" max="13314" width="24" bestFit="1" customWidth="1"/>
    <col min="13315" max="13315" width="5.3828125" customWidth="1"/>
    <col min="13316" max="13317" width="0" hidden="1" customWidth="1"/>
    <col min="13319" max="13319" width="13.765625" bestFit="1" customWidth="1"/>
    <col min="13323" max="13323" width="22" bestFit="1" customWidth="1"/>
    <col min="13570" max="13570" width="24" bestFit="1" customWidth="1"/>
    <col min="13571" max="13571" width="5.3828125" customWidth="1"/>
    <col min="13572" max="13573" width="0" hidden="1" customWidth="1"/>
    <col min="13575" max="13575" width="13.765625" bestFit="1" customWidth="1"/>
    <col min="13579" max="13579" width="22" bestFit="1" customWidth="1"/>
    <col min="13826" max="13826" width="24" bestFit="1" customWidth="1"/>
    <col min="13827" max="13827" width="5.3828125" customWidth="1"/>
    <col min="13828" max="13829" width="0" hidden="1" customWidth="1"/>
    <col min="13831" max="13831" width="13.765625" bestFit="1" customWidth="1"/>
    <col min="13835" max="13835" width="22" bestFit="1" customWidth="1"/>
    <col min="14082" max="14082" width="24" bestFit="1" customWidth="1"/>
    <col min="14083" max="14083" width="5.3828125" customWidth="1"/>
    <col min="14084" max="14085" width="0" hidden="1" customWidth="1"/>
    <col min="14087" max="14087" width="13.765625" bestFit="1" customWidth="1"/>
    <col min="14091" max="14091" width="22" bestFit="1" customWidth="1"/>
    <col min="14338" max="14338" width="24" bestFit="1" customWidth="1"/>
    <col min="14339" max="14339" width="5.3828125" customWidth="1"/>
    <col min="14340" max="14341" width="0" hidden="1" customWidth="1"/>
    <col min="14343" max="14343" width="13.765625" bestFit="1" customWidth="1"/>
    <col min="14347" max="14347" width="22" bestFit="1" customWidth="1"/>
    <col min="14594" max="14594" width="24" bestFit="1" customWidth="1"/>
    <col min="14595" max="14595" width="5.3828125" customWidth="1"/>
    <col min="14596" max="14597" width="0" hidden="1" customWidth="1"/>
    <col min="14599" max="14599" width="13.765625" bestFit="1" customWidth="1"/>
    <col min="14603" max="14603" width="22" bestFit="1" customWidth="1"/>
    <col min="14850" max="14850" width="24" bestFit="1" customWidth="1"/>
    <col min="14851" max="14851" width="5.3828125" customWidth="1"/>
    <col min="14852" max="14853" width="0" hidden="1" customWidth="1"/>
    <col min="14855" max="14855" width="13.765625" bestFit="1" customWidth="1"/>
    <col min="14859" max="14859" width="22" bestFit="1" customWidth="1"/>
    <col min="15106" max="15106" width="24" bestFit="1" customWidth="1"/>
    <col min="15107" max="15107" width="5.3828125" customWidth="1"/>
    <col min="15108" max="15109" width="0" hidden="1" customWidth="1"/>
    <col min="15111" max="15111" width="13.765625" bestFit="1" customWidth="1"/>
    <col min="15115" max="15115" width="22" bestFit="1" customWidth="1"/>
    <col min="15362" max="15362" width="24" bestFit="1" customWidth="1"/>
    <col min="15363" max="15363" width="5.3828125" customWidth="1"/>
    <col min="15364" max="15365" width="0" hidden="1" customWidth="1"/>
    <col min="15367" max="15367" width="13.765625" bestFit="1" customWidth="1"/>
    <col min="15371" max="15371" width="22" bestFit="1" customWidth="1"/>
    <col min="15618" max="15618" width="24" bestFit="1" customWidth="1"/>
    <col min="15619" max="15619" width="5.3828125" customWidth="1"/>
    <col min="15620" max="15621" width="0" hidden="1" customWidth="1"/>
    <col min="15623" max="15623" width="13.765625" bestFit="1" customWidth="1"/>
    <col min="15627" max="15627" width="22" bestFit="1" customWidth="1"/>
    <col min="15874" max="15874" width="24" bestFit="1" customWidth="1"/>
    <col min="15875" max="15875" width="5.3828125" customWidth="1"/>
    <col min="15876" max="15877" width="0" hidden="1" customWidth="1"/>
    <col min="15879" max="15879" width="13.765625" bestFit="1" customWidth="1"/>
    <col min="15883" max="15883" width="22" bestFit="1" customWidth="1"/>
    <col min="16130" max="16130" width="24" bestFit="1" customWidth="1"/>
    <col min="16131" max="16131" width="5.3828125" customWidth="1"/>
    <col min="16132" max="16133" width="0" hidden="1" customWidth="1"/>
    <col min="16135" max="16135" width="13.765625" bestFit="1" customWidth="1"/>
    <col min="16139" max="16139" width="22" bestFit="1" customWidth="1"/>
  </cols>
  <sheetData>
    <row r="1" spans="1:17">
      <c r="A1" s="9" t="s">
        <v>8</v>
      </c>
      <c r="K1" s="14" t="s">
        <v>81</v>
      </c>
      <c r="M1" t="s">
        <v>91</v>
      </c>
    </row>
    <row r="2" spans="1:17" ht="30.75" customHeight="1">
      <c r="B2" s="7" t="s">
        <v>3</v>
      </c>
      <c r="C2" s="7" t="s">
        <v>9</v>
      </c>
      <c r="D2" s="6" t="s">
        <v>122</v>
      </c>
      <c r="E2" s="6" t="s">
        <v>119</v>
      </c>
      <c r="F2" s="12" t="s">
        <v>82</v>
      </c>
      <c r="G2" s="6" t="s">
        <v>10</v>
      </c>
      <c r="H2" s="11" t="s">
        <v>121</v>
      </c>
      <c r="I2" s="11" t="s">
        <v>120</v>
      </c>
      <c r="J2" s="6" t="s">
        <v>11</v>
      </c>
      <c r="K2" s="7" t="s">
        <v>7</v>
      </c>
      <c r="M2" s="21">
        <v>46059</v>
      </c>
      <c r="N2" s="20" t="s">
        <v>92</v>
      </c>
      <c r="O2" s="20"/>
      <c r="P2" s="20"/>
      <c r="Q2" s="20"/>
    </row>
    <row r="3" spans="1:17">
      <c r="B3" s="5" t="s">
        <v>12</v>
      </c>
      <c r="C3" s="5">
        <v>1</v>
      </c>
      <c r="D3" s="5">
        <v>11</v>
      </c>
      <c r="E3" s="5">
        <v>10</v>
      </c>
      <c r="F3" s="8">
        <f ca="1">+D3+H3-I3</f>
        <v>6</v>
      </c>
      <c r="G3" s="5" t="str">
        <f ca="1">IF(B3=0,"",+IF(F3&lt;=J3,"注文して下さい",""))</f>
        <v/>
      </c>
      <c r="H3" s="8">
        <f ca="1">+SUMIF(持出明細表!$D$4:$F$128,C3,持出明細表!$F$4:$F$128)</f>
        <v>0</v>
      </c>
      <c r="I3" s="8">
        <f ca="1">+SUMIF(持出明細表!$D$4:$G$128,C3,持出明細表!$G$4:$G$128)</f>
        <v>5</v>
      </c>
      <c r="J3" s="5">
        <v>3</v>
      </c>
      <c r="K3" s="5"/>
      <c r="N3" t="str">
        <f>B3</f>
        <v>A4-S　グレー</v>
      </c>
    </row>
    <row r="4" spans="1:17">
      <c r="B4" s="5" t="s">
        <v>13</v>
      </c>
      <c r="C4" s="5">
        <v>2</v>
      </c>
      <c r="D4" s="5">
        <v>19</v>
      </c>
      <c r="E4" s="5">
        <v>10</v>
      </c>
      <c r="F4" s="8">
        <f ca="1">+D4+H4-I4</f>
        <v>19</v>
      </c>
      <c r="G4" s="5" t="str">
        <f ca="1">IF(B4=0,"",+IF(F4&lt;=J4,"注文して下さい",""))</f>
        <v/>
      </c>
      <c r="H4" s="8">
        <f ca="1">+SUMIF(持出明細表!$D$4:$F$128,C4,持出明細表!$F$4:$F$128)</f>
        <v>0</v>
      </c>
      <c r="I4" s="8">
        <f ca="1">+SUMIF(持出明細表!$D$4:$G$128,C4,持出明細表!$G$4:$G$128)</f>
        <v>0</v>
      </c>
      <c r="J4" s="5">
        <v>3</v>
      </c>
      <c r="K4" s="5"/>
      <c r="N4" t="str">
        <f t="shared" ref="N4:N67" si="0">B4</f>
        <v>A4-S厚とじ　グレー</v>
      </c>
    </row>
    <row r="5" spans="1:17">
      <c r="B5" s="5" t="s">
        <v>14</v>
      </c>
      <c r="C5" s="5">
        <v>3</v>
      </c>
      <c r="D5" s="5">
        <v>6</v>
      </c>
      <c r="E5" s="5">
        <v>10</v>
      </c>
      <c r="F5" s="8">
        <f t="shared" ref="F5:F67" ca="1" si="1">+D5+H5-I5</f>
        <v>6</v>
      </c>
      <c r="G5" s="5" t="str">
        <f t="shared" ref="G5:G67" ca="1" si="2">IF(B5=0,"",+IF(F5&lt;=J5,"注文して下さい",""))</f>
        <v/>
      </c>
      <c r="H5" s="8">
        <f ca="1">+SUMIF(持出明細表!$D$4:$F$128,C5,持出明細表!$F$4:$F$128)</f>
        <v>0</v>
      </c>
      <c r="I5" s="8">
        <f ca="1">+SUMIF(持出明細表!$D$4:$G$128,C5,持出明細表!$G$4:$G$128)</f>
        <v>0</v>
      </c>
      <c r="J5" s="5">
        <v>1</v>
      </c>
      <c r="K5" s="5" t="s">
        <v>15</v>
      </c>
      <c r="N5" t="str">
        <f t="shared" si="0"/>
        <v>A4-S　ブルー</v>
      </c>
    </row>
    <row r="6" spans="1:17">
      <c r="B6" s="5" t="s">
        <v>16</v>
      </c>
      <c r="C6" s="5">
        <v>4</v>
      </c>
      <c r="D6" s="5">
        <v>12</v>
      </c>
      <c r="E6" s="5">
        <v>10</v>
      </c>
      <c r="F6" s="8">
        <f t="shared" ca="1" si="1"/>
        <v>12</v>
      </c>
      <c r="G6" s="5" t="str">
        <f t="shared" ca="1" si="2"/>
        <v/>
      </c>
      <c r="H6" s="8">
        <f ca="1">+SUMIF(持出明細表!$D$4:$F$128,C6,持出明細表!$F$4:$F$128)</f>
        <v>0</v>
      </c>
      <c r="I6" s="8">
        <f ca="1">+SUMIF(持出明細表!$D$4:$G$128,C6,持出明細表!$G$4:$G$128)</f>
        <v>0</v>
      </c>
      <c r="J6" s="5">
        <v>1</v>
      </c>
      <c r="K6" s="5" t="s">
        <v>15</v>
      </c>
      <c r="N6" t="str">
        <f t="shared" si="0"/>
        <v>A4-S　ピンク</v>
      </c>
    </row>
    <row r="7" spans="1:17">
      <c r="B7" s="5" t="s">
        <v>17</v>
      </c>
      <c r="C7" s="5">
        <v>5</v>
      </c>
      <c r="D7" s="5">
        <v>5</v>
      </c>
      <c r="E7" s="5">
        <v>10</v>
      </c>
      <c r="F7" s="8">
        <f t="shared" ca="1" si="1"/>
        <v>5</v>
      </c>
      <c r="G7" s="5" t="str">
        <f t="shared" ca="1" si="2"/>
        <v/>
      </c>
      <c r="H7" s="8">
        <f ca="1">+SUMIF(持出明細表!$D$4:$F$128,C7,持出明細表!$F$4:$F$128)</f>
        <v>0</v>
      </c>
      <c r="I7" s="8">
        <f ca="1">+SUMIF(持出明細表!$D$4:$G$128,C7,持出明細表!$G$4:$G$128)</f>
        <v>0</v>
      </c>
      <c r="J7" s="5">
        <v>1</v>
      </c>
      <c r="K7" s="5" t="s">
        <v>15</v>
      </c>
      <c r="N7" t="str">
        <f t="shared" si="0"/>
        <v>A4-S　イエロー</v>
      </c>
    </row>
    <row r="8" spans="1:17">
      <c r="B8" s="5" t="s">
        <v>18</v>
      </c>
      <c r="C8" s="5">
        <v>6</v>
      </c>
      <c r="D8" s="5">
        <v>9</v>
      </c>
      <c r="E8" s="5">
        <v>10</v>
      </c>
      <c r="F8" s="8">
        <f t="shared" ca="1" si="1"/>
        <v>9</v>
      </c>
      <c r="G8" s="5" t="str">
        <f t="shared" ca="1" si="2"/>
        <v/>
      </c>
      <c r="H8" s="8">
        <f ca="1">+SUMIF(持出明細表!$D$4:$F$128,C8,持出明細表!$F$4:$F$128)</f>
        <v>0</v>
      </c>
      <c r="I8" s="8">
        <f ca="1">+SUMIF(持出明細表!$D$4:$G$128,C8,持出明細表!$G$4:$G$128)</f>
        <v>0</v>
      </c>
      <c r="J8" s="5">
        <v>1</v>
      </c>
      <c r="K8" s="5" t="s">
        <v>15</v>
      </c>
      <c r="N8" t="str">
        <f t="shared" si="0"/>
        <v>A4-S　ロイヤルブルー</v>
      </c>
    </row>
    <row r="9" spans="1:17">
      <c r="B9" s="5" t="s">
        <v>19</v>
      </c>
      <c r="C9" s="5">
        <v>7</v>
      </c>
      <c r="D9" s="5">
        <v>5</v>
      </c>
      <c r="E9" s="5">
        <v>10</v>
      </c>
      <c r="F9" s="8">
        <f t="shared" ca="1" si="1"/>
        <v>5</v>
      </c>
      <c r="G9" s="5" t="str">
        <f t="shared" ca="1" si="2"/>
        <v/>
      </c>
      <c r="H9" s="8">
        <f ca="1">+SUMIF(持出明細表!$D$4:$F$128,C9,持出明細表!$F$4:$F$128)</f>
        <v>0</v>
      </c>
      <c r="I9" s="8">
        <f ca="1">+SUMIF(持出明細表!$D$4:$G$128,C9,持出明細表!$G$4:$G$128)</f>
        <v>0</v>
      </c>
      <c r="J9" s="5">
        <v>1</v>
      </c>
      <c r="K9" s="5" t="s">
        <v>15</v>
      </c>
      <c r="N9" t="str">
        <f t="shared" si="0"/>
        <v>A4-S　バイオレット</v>
      </c>
    </row>
    <row r="10" spans="1:17">
      <c r="B10" s="5" t="s">
        <v>20</v>
      </c>
      <c r="C10" s="5">
        <v>8</v>
      </c>
      <c r="D10" s="5">
        <v>2</v>
      </c>
      <c r="E10" s="5">
        <v>10</v>
      </c>
      <c r="F10" s="8">
        <f t="shared" ca="1" si="1"/>
        <v>2</v>
      </c>
      <c r="G10" s="5" t="str">
        <f t="shared" ca="1" si="2"/>
        <v/>
      </c>
      <c r="H10" s="8">
        <f ca="1">+SUMIF(持出明細表!$D$4:$F$128,C10,持出明細表!$F$4:$F$128)</f>
        <v>0</v>
      </c>
      <c r="I10" s="8">
        <f ca="1">+SUMIF(持出明細表!$D$4:$G$128,C10,持出明細表!$G$4:$G$128)</f>
        <v>0</v>
      </c>
      <c r="J10" s="5">
        <v>1</v>
      </c>
      <c r="K10" s="5" t="s">
        <v>15</v>
      </c>
      <c r="N10" t="str">
        <f t="shared" si="0"/>
        <v>A4-S　グリーン</v>
      </c>
    </row>
    <row r="11" spans="1:17">
      <c r="B11" s="5" t="s">
        <v>21</v>
      </c>
      <c r="C11" s="5">
        <v>9</v>
      </c>
      <c r="D11" s="5">
        <v>10</v>
      </c>
      <c r="E11" s="5">
        <v>10</v>
      </c>
      <c r="F11" s="8">
        <f ca="1">+D11+H11-I11</f>
        <v>10</v>
      </c>
      <c r="G11" s="5" t="str">
        <f t="shared" ca="1" si="2"/>
        <v/>
      </c>
      <c r="H11" s="8">
        <f ca="1">+SUMIF(持出明細表!$D$4:$F$128,C11,持出明細表!$F$4:$F$128)</f>
        <v>0</v>
      </c>
      <c r="I11" s="8">
        <f ca="1">+SUMIF(持出明細表!$D$4:$G$128,C11,持出明細表!$G$4:$G$128)</f>
        <v>0</v>
      </c>
      <c r="J11" s="5">
        <v>3</v>
      </c>
      <c r="K11" s="5"/>
      <c r="N11" t="str">
        <f t="shared" si="0"/>
        <v>A4-E　グレー</v>
      </c>
    </row>
    <row r="12" spans="1:17">
      <c r="B12" s="5" t="s">
        <v>22</v>
      </c>
      <c r="C12" s="5">
        <v>10</v>
      </c>
      <c r="D12" s="5">
        <v>10</v>
      </c>
      <c r="E12" s="5">
        <v>10</v>
      </c>
      <c r="F12" s="8">
        <f ca="1">+D12+H12-I12</f>
        <v>10</v>
      </c>
      <c r="G12" s="5" t="str">
        <f ca="1">IF(B12=0,"",+IF(F12&lt;=J12,"注文して下さい",""))</f>
        <v/>
      </c>
      <c r="H12" s="8">
        <f ca="1">+SUMIF(持出明細表!$D$4:$F$128,C12,持出明細表!$F$4:$F$128)</f>
        <v>0</v>
      </c>
      <c r="I12" s="8">
        <f ca="1">+SUMIF(持出明細表!$D$4:$G$128,C12,持出明細表!$G$4:$G$128)</f>
        <v>0</v>
      </c>
      <c r="J12" s="5">
        <v>4</v>
      </c>
      <c r="K12" s="5"/>
      <c r="N12" t="str">
        <f t="shared" si="0"/>
        <v>A4-E　ブルー</v>
      </c>
    </row>
    <row r="13" spans="1:17">
      <c r="B13" s="5" t="s">
        <v>23</v>
      </c>
      <c r="C13" s="5">
        <v>11</v>
      </c>
      <c r="D13" s="5">
        <v>11</v>
      </c>
      <c r="E13" s="5">
        <v>10</v>
      </c>
      <c r="F13" s="8">
        <f ca="1">+D13+H13-I13</f>
        <v>11</v>
      </c>
      <c r="G13" s="5" t="str">
        <f ca="1">IF(B13=0,"",+IF(F13&lt;=J13,"注文して下さい",""))</f>
        <v/>
      </c>
      <c r="H13" s="8">
        <f ca="1">+SUMIF(持出明細表!$D$4:$F$128,C13,持出明細表!$F$4:$F$128)</f>
        <v>0</v>
      </c>
      <c r="I13" s="8">
        <f ca="1">+SUMIF(持出明細表!$D$4:$G$128,C13,持出明細表!$G$4:$G$128)</f>
        <v>0</v>
      </c>
      <c r="J13" s="5">
        <v>4</v>
      </c>
      <c r="K13" s="5"/>
      <c r="N13" t="str">
        <f t="shared" si="0"/>
        <v>A4-Eイエローグリーン</v>
      </c>
    </row>
    <row r="14" spans="1:17">
      <c r="B14" s="5" t="s">
        <v>24</v>
      </c>
      <c r="C14" s="5">
        <v>12</v>
      </c>
      <c r="D14" s="5">
        <v>4</v>
      </c>
      <c r="E14" s="5">
        <v>10</v>
      </c>
      <c r="F14" s="8">
        <f t="shared" ca="1" si="1"/>
        <v>4</v>
      </c>
      <c r="G14" s="5" t="str">
        <f t="shared" ca="1" si="2"/>
        <v/>
      </c>
      <c r="H14" s="8">
        <f ca="1">+SUMIF(持出明細表!$D$4:$F$128,C14,持出明細表!$F$4:$F$128)</f>
        <v>0</v>
      </c>
      <c r="I14" s="8">
        <f ca="1">+SUMIF(持出明細表!$D$4:$G$128,C14,持出明細表!$G$4:$G$128)</f>
        <v>0</v>
      </c>
      <c r="J14" s="5">
        <v>1</v>
      </c>
      <c r="K14" s="5" t="s">
        <v>15</v>
      </c>
      <c r="N14" t="str">
        <f t="shared" si="0"/>
        <v>A4-E厚とじ　イエロー</v>
      </c>
    </row>
    <row r="15" spans="1:17">
      <c r="B15" s="5" t="s">
        <v>25</v>
      </c>
      <c r="C15" s="5">
        <v>13</v>
      </c>
      <c r="D15" s="5">
        <v>11</v>
      </c>
      <c r="E15" s="5">
        <v>10</v>
      </c>
      <c r="F15" s="8">
        <f t="shared" ca="1" si="1"/>
        <v>11</v>
      </c>
      <c r="G15" s="5" t="str">
        <f t="shared" ca="1" si="2"/>
        <v/>
      </c>
      <c r="H15" s="8">
        <f ca="1">+SUMIF(持出明細表!$D$4:$F$128,C15,持出明細表!$F$4:$F$128)</f>
        <v>0</v>
      </c>
      <c r="I15" s="8">
        <f ca="1">+SUMIF(持出明細表!$D$4:$G$128,C15,持出明細表!$G$4:$G$128)</f>
        <v>0</v>
      </c>
      <c r="J15" s="5">
        <v>1</v>
      </c>
      <c r="K15" s="5" t="s">
        <v>15</v>
      </c>
      <c r="N15" t="str">
        <f t="shared" si="0"/>
        <v>A4-E厚とじ　イエローグリーン</v>
      </c>
    </row>
    <row r="16" spans="1:17">
      <c r="B16" s="5" t="s">
        <v>26</v>
      </c>
      <c r="C16" s="5">
        <v>14</v>
      </c>
      <c r="D16" s="5">
        <v>12</v>
      </c>
      <c r="E16" s="5">
        <v>10</v>
      </c>
      <c r="F16" s="8">
        <f t="shared" ca="1" si="1"/>
        <v>12</v>
      </c>
      <c r="G16" s="5" t="str">
        <f t="shared" ca="1" si="2"/>
        <v/>
      </c>
      <c r="H16" s="8">
        <f ca="1">+SUMIF(持出明細表!$D$4:$F$128,C16,持出明細表!$F$4:$F$128)</f>
        <v>0</v>
      </c>
      <c r="I16" s="8">
        <f ca="1">+SUMIF(持出明細表!$D$4:$G$128,C16,持出明細表!$G$4:$G$128)</f>
        <v>0</v>
      </c>
      <c r="J16" s="5">
        <v>1</v>
      </c>
      <c r="K16" s="5" t="s">
        <v>15</v>
      </c>
      <c r="N16" t="str">
        <f t="shared" si="0"/>
        <v>A4-E厚とじ　グレー</v>
      </c>
    </row>
    <row r="17" spans="2:14">
      <c r="B17" s="5" t="s">
        <v>27</v>
      </c>
      <c r="C17" s="5">
        <v>15</v>
      </c>
      <c r="D17" s="5">
        <v>5</v>
      </c>
      <c r="E17" s="5">
        <v>10</v>
      </c>
      <c r="F17" s="8">
        <f ca="1">+D17+H17-I17</f>
        <v>2</v>
      </c>
      <c r="G17" s="5" t="str">
        <f t="shared" ca="1" si="2"/>
        <v>注文して下さい</v>
      </c>
      <c r="H17" s="8">
        <f ca="1">+SUMIF(持出明細表!$D$4:$F$128,C17,持出明細表!$F$4:$F$128)</f>
        <v>0</v>
      </c>
      <c r="I17" s="8">
        <f ca="1">+SUMIF(持出明細表!$D$4:$G$128,C17,持出明細表!$G$4:$G$128)</f>
        <v>3</v>
      </c>
      <c r="J17" s="5">
        <v>2</v>
      </c>
      <c r="K17" s="5"/>
      <c r="N17" t="str">
        <f t="shared" si="0"/>
        <v>A4-Sのび～る</v>
      </c>
    </row>
    <row r="18" spans="2:14">
      <c r="B18" s="5" t="s">
        <v>28</v>
      </c>
      <c r="C18" s="5">
        <v>16</v>
      </c>
      <c r="D18" s="5">
        <v>8</v>
      </c>
      <c r="E18" s="5">
        <v>10</v>
      </c>
      <c r="F18" s="8">
        <f ca="1">+D18+H18-I18</f>
        <v>8</v>
      </c>
      <c r="G18" s="5" t="str">
        <f t="shared" ca="1" si="2"/>
        <v/>
      </c>
      <c r="H18" s="8">
        <f ca="1">+SUMIF(持出明細表!$D$4:$F$128,C18,持出明細表!$F$4:$F$128)</f>
        <v>0</v>
      </c>
      <c r="I18" s="8">
        <f ca="1">+SUMIF(持出明細表!$D$4:$G$128,C18,持出明細表!$G$4:$G$128)</f>
        <v>0</v>
      </c>
      <c r="J18" s="5">
        <v>2</v>
      </c>
      <c r="K18" s="5"/>
      <c r="N18" t="str">
        <f t="shared" si="0"/>
        <v>A4-Eのび～る</v>
      </c>
    </row>
    <row r="19" spans="2:14">
      <c r="B19" s="5" t="s">
        <v>29</v>
      </c>
      <c r="C19" s="5">
        <v>17</v>
      </c>
      <c r="D19" s="5">
        <v>10</v>
      </c>
      <c r="E19" s="5">
        <v>10</v>
      </c>
      <c r="F19" s="8">
        <f t="shared" ca="1" si="1"/>
        <v>10</v>
      </c>
      <c r="G19" s="5" t="str">
        <f t="shared" ca="1" si="2"/>
        <v/>
      </c>
      <c r="H19" s="8">
        <f ca="1">+SUMIF(持出明細表!$D$4:$F$128,C19,持出明細表!$F$4:$F$128)</f>
        <v>0</v>
      </c>
      <c r="I19" s="8">
        <f ca="1">+SUMIF(持出明細表!$D$4:$G$128,C19,持出明細表!$G$4:$G$128)</f>
        <v>0</v>
      </c>
      <c r="J19" s="5">
        <v>0</v>
      </c>
      <c r="K19" s="5"/>
      <c r="N19" t="str">
        <f t="shared" si="0"/>
        <v>B5-S　グレー</v>
      </c>
    </row>
    <row r="20" spans="2:14">
      <c r="B20" s="5" t="s">
        <v>30</v>
      </c>
      <c r="C20" s="5">
        <v>18</v>
      </c>
      <c r="D20" s="5">
        <v>4</v>
      </c>
      <c r="E20" s="5">
        <v>10</v>
      </c>
      <c r="F20" s="8">
        <f t="shared" ca="1" si="1"/>
        <v>4</v>
      </c>
      <c r="G20" s="5" t="str">
        <f t="shared" ca="1" si="2"/>
        <v/>
      </c>
      <c r="H20" s="8">
        <f ca="1">+SUMIF(持出明細表!$D$4:$F$128,C20,持出明細表!$F$4:$F$128)</f>
        <v>0</v>
      </c>
      <c r="I20" s="8">
        <f ca="1">+SUMIF(持出明細表!$D$4:$G$128,C20,持出明細表!$G$4:$G$128)</f>
        <v>0</v>
      </c>
      <c r="J20" s="5">
        <v>0</v>
      </c>
      <c r="K20" s="5"/>
      <c r="N20" t="str">
        <f t="shared" si="0"/>
        <v>B5-S厚とじ　ブルー</v>
      </c>
    </row>
    <row r="21" spans="2:14">
      <c r="B21" s="5" t="s">
        <v>31</v>
      </c>
      <c r="C21" s="5">
        <v>19</v>
      </c>
      <c r="D21" s="5">
        <v>1</v>
      </c>
      <c r="E21" s="5">
        <v>10</v>
      </c>
      <c r="F21" s="8">
        <f t="shared" ca="1" si="1"/>
        <v>1</v>
      </c>
      <c r="G21" s="5" t="str">
        <f t="shared" ca="1" si="2"/>
        <v/>
      </c>
      <c r="H21" s="8">
        <f ca="1">+SUMIF(持出明細表!$D$4:$F$128,C21,持出明細表!$F$4:$F$128)</f>
        <v>0</v>
      </c>
      <c r="I21" s="8">
        <f ca="1">+SUMIF(持出明細表!$D$4:$G$128,C21,持出明細表!$G$4:$G$128)</f>
        <v>0</v>
      </c>
      <c r="J21" s="5">
        <v>0</v>
      </c>
      <c r="K21" s="5"/>
      <c r="N21" t="str">
        <f t="shared" si="0"/>
        <v>B5-E　グレー</v>
      </c>
    </row>
    <row r="22" spans="2:14">
      <c r="B22" s="5" t="s">
        <v>32</v>
      </c>
      <c r="C22" s="5">
        <v>20</v>
      </c>
      <c r="D22" s="5">
        <v>10</v>
      </c>
      <c r="E22" s="5">
        <v>10</v>
      </c>
      <c r="F22" s="8">
        <f t="shared" ca="1" si="1"/>
        <v>10</v>
      </c>
      <c r="G22" s="5" t="str">
        <f t="shared" ca="1" si="2"/>
        <v/>
      </c>
      <c r="H22" s="8">
        <f ca="1">+SUMIF(持出明細表!$D$4:$F$128,C22,持出明細表!$F$4:$F$128)</f>
        <v>0</v>
      </c>
      <c r="I22" s="8">
        <f ca="1">+SUMIF(持出明細表!$D$4:$G$128,C22,持出明細表!$G$4:$G$128)</f>
        <v>0</v>
      </c>
      <c r="J22" s="5">
        <v>0</v>
      </c>
      <c r="K22" s="5"/>
      <c r="N22" t="str">
        <f t="shared" si="0"/>
        <v>B5-E　ブルー</v>
      </c>
    </row>
    <row r="23" spans="2:14">
      <c r="B23" s="5" t="s">
        <v>33</v>
      </c>
      <c r="C23" s="5">
        <v>21</v>
      </c>
      <c r="D23" s="5">
        <v>2</v>
      </c>
      <c r="E23" s="5">
        <v>10</v>
      </c>
      <c r="F23" s="8">
        <f t="shared" ca="1" si="1"/>
        <v>2</v>
      </c>
      <c r="G23" s="5" t="str">
        <f t="shared" ca="1" si="2"/>
        <v/>
      </c>
      <c r="H23" s="8">
        <f ca="1">+SUMIF(持出明細表!$D$4:$F$128,C23,持出明細表!$F$4:$F$128)</f>
        <v>0</v>
      </c>
      <c r="I23" s="8">
        <f ca="1">+SUMIF(持出明細表!$D$4:$G$128,C23,持出明細表!$G$4:$G$128)</f>
        <v>0</v>
      </c>
      <c r="J23" s="5">
        <v>0</v>
      </c>
      <c r="K23" s="5"/>
      <c r="N23" t="str">
        <f t="shared" si="0"/>
        <v>B5-E　イエローグリーン</v>
      </c>
    </row>
    <row r="24" spans="2:14">
      <c r="B24" s="5" t="s">
        <v>34</v>
      </c>
      <c r="C24" s="5">
        <v>22</v>
      </c>
      <c r="D24" s="5">
        <v>2</v>
      </c>
      <c r="E24" s="5">
        <v>10</v>
      </c>
      <c r="F24" s="8">
        <f t="shared" ca="1" si="1"/>
        <v>2</v>
      </c>
      <c r="G24" s="5" t="str">
        <f t="shared" ca="1" si="2"/>
        <v/>
      </c>
      <c r="H24" s="8">
        <f ca="1">+SUMIF(持出明細表!$D$4:$F$128,C24,持出明細表!$F$4:$F$128)</f>
        <v>0</v>
      </c>
      <c r="I24" s="8">
        <f ca="1">+SUMIF(持出明細表!$D$4:$G$128,C24,持出明細表!$G$4:$G$128)</f>
        <v>0</v>
      </c>
      <c r="J24" s="5">
        <v>0</v>
      </c>
      <c r="K24" s="5"/>
      <c r="N24" t="str">
        <f t="shared" si="0"/>
        <v>B4-S　グレー</v>
      </c>
    </row>
    <row r="25" spans="2:14">
      <c r="B25" s="5" t="s">
        <v>35</v>
      </c>
      <c r="C25" s="5">
        <v>23</v>
      </c>
      <c r="D25" s="5">
        <v>14</v>
      </c>
      <c r="E25" s="5">
        <v>10</v>
      </c>
      <c r="F25" s="8">
        <f t="shared" ca="1" si="1"/>
        <v>14</v>
      </c>
      <c r="G25" s="5" t="str">
        <f t="shared" ca="1" si="2"/>
        <v/>
      </c>
      <c r="H25" s="8">
        <f ca="1">+SUMIF(持出明細表!$D$4:$F$128,C25,持出明細表!$F$4:$F$128)</f>
        <v>0</v>
      </c>
      <c r="I25" s="8">
        <f ca="1">+SUMIF(持出明細表!$D$4:$G$128,C25,持出明細表!$G$4:$G$128)</f>
        <v>0</v>
      </c>
      <c r="J25" s="5">
        <v>0</v>
      </c>
      <c r="K25" s="5" t="s">
        <v>15</v>
      </c>
      <c r="N25" t="str">
        <f t="shared" si="0"/>
        <v>B4-S　ブルー</v>
      </c>
    </row>
    <row r="26" spans="2:14">
      <c r="B26" s="5" t="s">
        <v>36</v>
      </c>
      <c r="C26" s="5">
        <v>24</v>
      </c>
      <c r="D26" s="5">
        <v>5</v>
      </c>
      <c r="E26" s="5">
        <v>10</v>
      </c>
      <c r="F26" s="8">
        <f t="shared" ca="1" si="1"/>
        <v>5</v>
      </c>
      <c r="G26" s="5" t="str">
        <f t="shared" ca="1" si="2"/>
        <v/>
      </c>
      <c r="H26" s="8">
        <f ca="1">+SUMIF(持出明細表!$D$4:$F$128,C26,持出明細表!$F$4:$F$128)</f>
        <v>0</v>
      </c>
      <c r="I26" s="8">
        <f ca="1">+SUMIF(持出明細表!$D$4:$G$128,C26,持出明細表!$G$4:$G$128)</f>
        <v>0</v>
      </c>
      <c r="J26" s="5">
        <v>0</v>
      </c>
      <c r="K26" s="5"/>
      <c r="N26" t="str">
        <f t="shared" si="0"/>
        <v>B4-E　グレー</v>
      </c>
    </row>
    <row r="27" spans="2:14">
      <c r="B27" s="5" t="s">
        <v>37</v>
      </c>
      <c r="C27" s="5">
        <v>25</v>
      </c>
      <c r="D27" s="5">
        <v>20</v>
      </c>
      <c r="E27" s="5">
        <v>10</v>
      </c>
      <c r="F27" s="8">
        <f t="shared" ca="1" si="1"/>
        <v>20</v>
      </c>
      <c r="G27" s="5" t="str">
        <f t="shared" ca="1" si="2"/>
        <v/>
      </c>
      <c r="H27" s="8">
        <f ca="1">+SUMIF(持出明細表!$D$4:$F$128,C27,持出明細表!$F$4:$F$128)</f>
        <v>0</v>
      </c>
      <c r="I27" s="8">
        <f ca="1">+SUMIF(持出明細表!$D$4:$G$128,C27,持出明細表!$G$4:$G$128)</f>
        <v>0</v>
      </c>
      <c r="J27" s="5">
        <v>0</v>
      </c>
      <c r="K27" s="5" t="s">
        <v>15</v>
      </c>
      <c r="N27" t="str">
        <f t="shared" si="0"/>
        <v>B4-E　ロイヤルブルー</v>
      </c>
    </row>
    <row r="28" spans="2:14">
      <c r="B28" s="5" t="s">
        <v>38</v>
      </c>
      <c r="C28" s="5">
        <v>26</v>
      </c>
      <c r="D28" s="5">
        <v>12</v>
      </c>
      <c r="E28" s="5">
        <v>10</v>
      </c>
      <c r="F28" s="8">
        <f t="shared" ca="1" si="1"/>
        <v>12</v>
      </c>
      <c r="G28" s="5" t="str">
        <f t="shared" ca="1" si="2"/>
        <v/>
      </c>
      <c r="H28" s="8">
        <f ca="1">+SUMIF(持出明細表!$D$4:$F$128,C28,持出明細表!$F$4:$F$128)</f>
        <v>0</v>
      </c>
      <c r="I28" s="8">
        <f ca="1">+SUMIF(持出明細表!$D$4:$G$128,C28,持出明細表!$G$4:$G$128)</f>
        <v>0</v>
      </c>
      <c r="J28" s="5">
        <v>0</v>
      </c>
      <c r="K28" s="5"/>
      <c r="N28" t="str">
        <f t="shared" si="0"/>
        <v>B6-E　ガバットファイル　グレー</v>
      </c>
    </row>
    <row r="29" spans="2:14">
      <c r="B29" s="5" t="s">
        <v>39</v>
      </c>
      <c r="C29" s="5">
        <v>27</v>
      </c>
      <c r="D29" s="5">
        <v>2</v>
      </c>
      <c r="E29" s="5">
        <v>10</v>
      </c>
      <c r="F29" s="8">
        <f t="shared" ca="1" si="1"/>
        <v>2</v>
      </c>
      <c r="G29" s="5" t="str">
        <f t="shared" ca="1" si="2"/>
        <v/>
      </c>
      <c r="H29" s="8">
        <f ca="1">+SUMIF(持出明細表!$D$4:$F$128,C29,持出明細表!$F$4:$F$128)</f>
        <v>0</v>
      </c>
      <c r="I29" s="8">
        <f ca="1">+SUMIF(持出明細表!$D$4:$G$128,C29,持出明細表!$G$4:$G$128)</f>
        <v>0</v>
      </c>
      <c r="J29" s="5">
        <v>0</v>
      </c>
      <c r="K29" s="5"/>
      <c r="N29" t="str">
        <f t="shared" si="0"/>
        <v>A3-S　グレー</v>
      </c>
    </row>
    <row r="30" spans="2:14">
      <c r="B30" s="5" t="s">
        <v>40</v>
      </c>
      <c r="C30" s="5">
        <v>28</v>
      </c>
      <c r="D30" s="5">
        <v>11</v>
      </c>
      <c r="E30" s="5">
        <v>10</v>
      </c>
      <c r="F30" s="8">
        <f t="shared" ca="1" si="1"/>
        <v>11</v>
      </c>
      <c r="G30" s="5" t="str">
        <f t="shared" ca="1" si="2"/>
        <v/>
      </c>
      <c r="H30" s="8">
        <f ca="1">+SUMIF(持出明細表!$D$4:$F$128,C30,持出明細表!$F$4:$F$128)</f>
        <v>0</v>
      </c>
      <c r="I30" s="8">
        <f ca="1">+SUMIF(持出明細表!$D$4:$G$128,C30,持出明細表!$G$4:$G$128)</f>
        <v>0</v>
      </c>
      <c r="J30" s="5">
        <v>0</v>
      </c>
      <c r="K30" s="5"/>
      <c r="N30" t="str">
        <f t="shared" si="0"/>
        <v>A3-E　グレー</v>
      </c>
    </row>
    <row r="31" spans="2:14">
      <c r="B31" s="5" t="s">
        <v>41</v>
      </c>
      <c r="C31" s="5">
        <v>29</v>
      </c>
      <c r="D31" s="5">
        <v>5</v>
      </c>
      <c r="E31" s="5">
        <v>10</v>
      </c>
      <c r="F31" s="8">
        <f t="shared" ca="1" si="1"/>
        <v>5</v>
      </c>
      <c r="G31" s="5" t="str">
        <f t="shared" ca="1" si="2"/>
        <v/>
      </c>
      <c r="H31" s="8">
        <f ca="1">+SUMIF(持出明細表!$D$4:$F$128,C31,持出明細表!$F$4:$F$128)</f>
        <v>0</v>
      </c>
      <c r="I31" s="8">
        <f ca="1">+SUMIF(持出明細表!$D$4:$G$128,C31,持出明細表!$G$4:$G$128)</f>
        <v>0</v>
      </c>
      <c r="J31" s="5">
        <v>0</v>
      </c>
      <c r="K31" s="5"/>
      <c r="N31" t="str">
        <f t="shared" si="0"/>
        <v>A5-E　グレー</v>
      </c>
    </row>
    <row r="32" spans="2:14">
      <c r="B32" s="5" t="s">
        <v>42</v>
      </c>
      <c r="C32" s="5">
        <v>30</v>
      </c>
      <c r="D32" s="5">
        <v>14</v>
      </c>
      <c r="E32" s="5">
        <v>10</v>
      </c>
      <c r="F32" s="8">
        <f t="shared" ca="1" si="1"/>
        <v>14</v>
      </c>
      <c r="G32" s="5" t="str">
        <f t="shared" ca="1" si="2"/>
        <v/>
      </c>
      <c r="H32" s="8">
        <f ca="1">+SUMIF(持出明細表!$D$4:$F$128,C32,持出明細表!$F$4:$F$128)</f>
        <v>0</v>
      </c>
      <c r="I32" s="8">
        <f ca="1">+SUMIF(持出明細表!$D$4:$G$128,C32,持出明細表!$G$4:$G$128)</f>
        <v>0</v>
      </c>
      <c r="J32" s="5">
        <v>2</v>
      </c>
      <c r="K32" s="5"/>
      <c r="N32" t="str">
        <f t="shared" si="0"/>
        <v>電池　単1</v>
      </c>
    </row>
    <row r="33" spans="2:14">
      <c r="B33" s="5" t="s">
        <v>43</v>
      </c>
      <c r="C33" s="5">
        <v>31</v>
      </c>
      <c r="D33" s="5">
        <v>16</v>
      </c>
      <c r="E33" s="5">
        <v>10</v>
      </c>
      <c r="F33" s="8">
        <f t="shared" ca="1" si="1"/>
        <v>16</v>
      </c>
      <c r="G33" s="5" t="str">
        <f t="shared" ca="1" si="2"/>
        <v/>
      </c>
      <c r="H33" s="8">
        <f ca="1">+SUMIF(持出明細表!$D$4:$F$128,C33,持出明細表!$F$4:$F$128)</f>
        <v>0</v>
      </c>
      <c r="I33" s="8">
        <f ca="1">+SUMIF(持出明細表!$D$4:$G$128,C33,持出明細表!$G$4:$G$128)</f>
        <v>0</v>
      </c>
      <c r="J33" s="5">
        <v>2</v>
      </c>
      <c r="K33" s="5"/>
      <c r="N33" t="str">
        <f t="shared" si="0"/>
        <v>電池　単2</v>
      </c>
    </row>
    <row r="34" spans="2:14">
      <c r="B34" s="5" t="s">
        <v>44</v>
      </c>
      <c r="C34" s="5">
        <v>32</v>
      </c>
      <c r="D34" s="5">
        <v>63</v>
      </c>
      <c r="E34" s="5">
        <v>40</v>
      </c>
      <c r="F34" s="8">
        <f t="shared" ca="1" si="1"/>
        <v>23</v>
      </c>
      <c r="G34" s="5" t="str">
        <f t="shared" ca="1" si="2"/>
        <v>注文して下さい</v>
      </c>
      <c r="H34" s="8">
        <f ca="1">+SUMIF(持出明細表!$D$4:$F$128,C34,持出明細表!$F$4:$F$128)</f>
        <v>0</v>
      </c>
      <c r="I34" s="8">
        <f ca="1">+SUMIF(持出明細表!$D$4:$G$128,C34,持出明細表!$G$4:$G$128)</f>
        <v>40</v>
      </c>
      <c r="J34" s="5">
        <v>40</v>
      </c>
      <c r="K34" s="5"/>
      <c r="N34" t="str">
        <f t="shared" si="0"/>
        <v>電池　単3</v>
      </c>
    </row>
    <row r="35" spans="2:14">
      <c r="B35" s="5" t="s">
        <v>45</v>
      </c>
      <c r="C35" s="5">
        <v>33</v>
      </c>
      <c r="D35" s="5">
        <v>70</v>
      </c>
      <c r="E35" s="5">
        <v>40</v>
      </c>
      <c r="F35" s="8">
        <f t="shared" ca="1" si="1"/>
        <v>70</v>
      </c>
      <c r="G35" s="5" t="str">
        <f t="shared" ca="1" si="2"/>
        <v/>
      </c>
      <c r="H35" s="8">
        <f ca="1">+SUMIF(持出明細表!$D$4:$F$128,C35,持出明細表!$F$4:$F$128)</f>
        <v>0</v>
      </c>
      <c r="I35" s="8">
        <f ca="1">+SUMIF(持出明細表!$D$4:$G$128,C35,持出明細表!$G$4:$G$128)</f>
        <v>0</v>
      </c>
      <c r="J35" s="5">
        <v>8</v>
      </c>
      <c r="K35" s="5"/>
      <c r="N35" t="str">
        <f t="shared" si="0"/>
        <v>電池　単4</v>
      </c>
    </row>
    <row r="36" spans="2:14">
      <c r="B36" s="5" t="s">
        <v>46</v>
      </c>
      <c r="C36" s="5">
        <v>34</v>
      </c>
      <c r="D36" s="5">
        <v>13</v>
      </c>
      <c r="E36" s="5">
        <v>10</v>
      </c>
      <c r="F36" s="8">
        <f t="shared" ca="1" si="1"/>
        <v>13</v>
      </c>
      <c r="G36" s="5" t="str">
        <f t="shared" ca="1" si="2"/>
        <v/>
      </c>
      <c r="H36" s="8">
        <f ca="1">+SUMIF(持出明細表!$D$4:$F$128,C36,持出明細表!$F$4:$F$128)</f>
        <v>0</v>
      </c>
      <c r="I36" s="8">
        <f ca="1">+SUMIF(持出明細表!$D$4:$G$128,C36,持出明細表!$G$4:$G$128)</f>
        <v>0</v>
      </c>
      <c r="J36" s="5">
        <v>2</v>
      </c>
      <c r="K36" s="5"/>
      <c r="N36" t="str">
        <f t="shared" si="0"/>
        <v>油性ボールペン　黒</v>
      </c>
    </row>
    <row r="37" spans="2:14">
      <c r="B37" s="5" t="s">
        <v>47</v>
      </c>
      <c r="C37" s="5">
        <v>35</v>
      </c>
      <c r="D37" s="5">
        <v>13</v>
      </c>
      <c r="E37" s="5">
        <v>10</v>
      </c>
      <c r="F37" s="8">
        <f t="shared" ca="1" si="1"/>
        <v>13</v>
      </c>
      <c r="G37" s="5" t="str">
        <f t="shared" ca="1" si="2"/>
        <v/>
      </c>
      <c r="H37" s="8">
        <f ca="1">+SUMIF(持出明細表!$D$4:$F$128,C37,持出明細表!$F$4:$F$128)</f>
        <v>0</v>
      </c>
      <c r="I37" s="8">
        <f ca="1">+SUMIF(持出明細表!$D$4:$G$128,C37,持出明細表!$G$4:$G$128)</f>
        <v>0</v>
      </c>
      <c r="J37" s="5">
        <v>2</v>
      </c>
      <c r="K37" s="5"/>
      <c r="N37" t="str">
        <f t="shared" si="0"/>
        <v>油性ボールペン　赤</v>
      </c>
    </row>
    <row r="38" spans="2:14">
      <c r="B38" s="5" t="s">
        <v>48</v>
      </c>
      <c r="C38" s="5">
        <v>36</v>
      </c>
      <c r="D38" s="5">
        <v>8</v>
      </c>
      <c r="E38" s="5">
        <v>10</v>
      </c>
      <c r="F38" s="8">
        <f t="shared" ca="1" si="1"/>
        <v>8</v>
      </c>
      <c r="G38" s="5" t="str">
        <f t="shared" ca="1" si="2"/>
        <v/>
      </c>
      <c r="H38" s="8">
        <f ca="1">+SUMIF(持出明細表!$D$4:$F$128,C38,持出明細表!$F$4:$F$128)</f>
        <v>0</v>
      </c>
      <c r="I38" s="8">
        <f ca="1">+SUMIF(持出明細表!$D$4:$G$128,C38,持出明細表!$G$4:$G$128)</f>
        <v>0</v>
      </c>
      <c r="J38" s="5">
        <v>2</v>
      </c>
      <c r="K38" s="5"/>
      <c r="N38" t="str">
        <f t="shared" si="0"/>
        <v>油性ボールペン　青</v>
      </c>
    </row>
    <row r="39" spans="2:14">
      <c r="B39" s="5" t="s">
        <v>49</v>
      </c>
      <c r="C39" s="5">
        <v>37</v>
      </c>
      <c r="D39" s="5">
        <v>23</v>
      </c>
      <c r="E39" s="5">
        <v>10</v>
      </c>
      <c r="F39" s="8">
        <f t="shared" ca="1" si="1"/>
        <v>23</v>
      </c>
      <c r="G39" s="5" t="str">
        <f ca="1">IF(B39=0,"",+IF(F39&lt;=J39,"注文して下さい",""))</f>
        <v/>
      </c>
      <c r="H39" s="8">
        <f ca="1">+SUMIF(持出明細表!$D$4:$F$128,C39,持出明細表!$F$4:$F$128)</f>
        <v>0</v>
      </c>
      <c r="I39" s="8">
        <f ca="1">+SUMIF(持出明細表!$D$4:$G$128,C39,持出明細表!$G$4:$G$128)</f>
        <v>0</v>
      </c>
      <c r="J39" s="5">
        <v>1</v>
      </c>
      <c r="K39" s="5"/>
      <c r="N39" t="str">
        <f t="shared" si="0"/>
        <v>マッキー極細　黒</v>
      </c>
    </row>
    <row r="40" spans="2:14">
      <c r="B40" s="5" t="s">
        <v>50</v>
      </c>
      <c r="C40" s="5">
        <v>38</v>
      </c>
      <c r="D40" s="5">
        <v>4</v>
      </c>
      <c r="E40" s="5">
        <v>10</v>
      </c>
      <c r="F40" s="8">
        <f t="shared" ca="1" si="1"/>
        <v>4</v>
      </c>
      <c r="G40" s="5" t="str">
        <f t="shared" ca="1" si="2"/>
        <v/>
      </c>
      <c r="H40" s="8">
        <f ca="1">+SUMIF(持出明細表!$D$4:$F$128,C40,持出明細表!$F$4:$F$128)</f>
        <v>0</v>
      </c>
      <c r="I40" s="8">
        <f ca="1">+SUMIF(持出明細表!$D$4:$G$128,C40,持出明細表!$G$4:$G$128)</f>
        <v>0</v>
      </c>
      <c r="J40" s="5">
        <v>1</v>
      </c>
      <c r="K40" s="5"/>
      <c r="N40" t="str">
        <f t="shared" si="0"/>
        <v>マッキー極細　赤</v>
      </c>
    </row>
    <row r="41" spans="2:14">
      <c r="B41" s="5" t="s">
        <v>51</v>
      </c>
      <c r="C41" s="5">
        <v>39</v>
      </c>
      <c r="D41" s="5">
        <v>3</v>
      </c>
      <c r="E41" s="5">
        <v>10</v>
      </c>
      <c r="F41" s="8">
        <f t="shared" ca="1" si="1"/>
        <v>3</v>
      </c>
      <c r="G41" s="5" t="str">
        <f t="shared" ca="1" si="2"/>
        <v/>
      </c>
      <c r="H41" s="8">
        <f ca="1">+SUMIF(持出明細表!$D$4:$F$128,C41,持出明細表!$F$4:$F$128)</f>
        <v>0</v>
      </c>
      <c r="I41" s="8">
        <f ca="1">+SUMIF(持出明細表!$D$4:$G$128,C41,持出明細表!$G$4:$G$128)</f>
        <v>0</v>
      </c>
      <c r="J41" s="5">
        <v>1</v>
      </c>
      <c r="K41" s="5"/>
      <c r="N41" t="str">
        <f t="shared" si="0"/>
        <v>マッキー　黒</v>
      </c>
    </row>
    <row r="42" spans="2:14">
      <c r="B42" s="5" t="s">
        <v>52</v>
      </c>
      <c r="C42" s="5">
        <v>40</v>
      </c>
      <c r="D42" s="5">
        <v>5</v>
      </c>
      <c r="E42" s="5">
        <v>10</v>
      </c>
      <c r="F42" s="8">
        <f ca="1">+D42+H42-I42</f>
        <v>5</v>
      </c>
      <c r="G42" s="5" t="str">
        <f t="shared" ca="1" si="2"/>
        <v/>
      </c>
      <c r="H42" s="8">
        <f ca="1">+SUMIF(持出明細表!$D$4:$F$128,C42,持出明細表!$F$4:$F$128)</f>
        <v>0</v>
      </c>
      <c r="I42" s="8">
        <f ca="1">+SUMIF(持出明細表!$D$4:$G$128,C42,持出明細表!$G$4:$G$128)</f>
        <v>0</v>
      </c>
      <c r="J42" s="5">
        <v>1</v>
      </c>
      <c r="K42" s="5"/>
      <c r="N42" t="str">
        <f t="shared" si="0"/>
        <v>マッキー　赤</v>
      </c>
    </row>
    <row r="43" spans="2:14">
      <c r="B43" s="5" t="s">
        <v>53</v>
      </c>
      <c r="C43" s="5">
        <v>41</v>
      </c>
      <c r="D43" s="5">
        <v>10</v>
      </c>
      <c r="E43" s="5">
        <v>10</v>
      </c>
      <c r="F43" s="8">
        <f t="shared" ca="1" si="1"/>
        <v>10</v>
      </c>
      <c r="G43" s="5" t="str">
        <f t="shared" ca="1" si="2"/>
        <v/>
      </c>
      <c r="H43" s="8">
        <f ca="1">+SUMIF(持出明細表!$D$4:$F$128,C43,持出明細表!$F$4:$F$128)</f>
        <v>0</v>
      </c>
      <c r="I43" s="8">
        <f ca="1">+SUMIF(持出明細表!$D$4:$G$128,C43,持出明細表!$G$4:$G$128)</f>
        <v>0</v>
      </c>
      <c r="J43" s="5">
        <v>1</v>
      </c>
      <c r="K43" s="5"/>
      <c r="N43" t="str">
        <f t="shared" si="0"/>
        <v>サインペン　黒</v>
      </c>
    </row>
    <row r="44" spans="2:14">
      <c r="B44" s="5" t="s">
        <v>54</v>
      </c>
      <c r="C44" s="5">
        <v>42</v>
      </c>
      <c r="D44" s="5">
        <v>9</v>
      </c>
      <c r="E44" s="5">
        <v>10</v>
      </c>
      <c r="F44" s="8">
        <f t="shared" ca="1" si="1"/>
        <v>9</v>
      </c>
      <c r="G44" s="5" t="str">
        <f t="shared" ca="1" si="2"/>
        <v/>
      </c>
      <c r="H44" s="8">
        <f ca="1">+SUMIF(持出明細表!$D$4:$F$128,C44,持出明細表!$F$4:$F$128)</f>
        <v>0</v>
      </c>
      <c r="I44" s="8">
        <f ca="1">+SUMIF(持出明細表!$D$4:$G$128,C44,持出明細表!$G$4:$G$128)</f>
        <v>0</v>
      </c>
      <c r="J44" s="5">
        <v>1</v>
      </c>
      <c r="K44" s="5"/>
      <c r="N44" t="str">
        <f t="shared" si="0"/>
        <v>サインペン　赤</v>
      </c>
    </row>
    <row r="45" spans="2:14">
      <c r="B45" s="5" t="s">
        <v>55</v>
      </c>
      <c r="C45" s="5">
        <v>43</v>
      </c>
      <c r="D45" s="5">
        <v>13</v>
      </c>
      <c r="E45" s="5">
        <v>10</v>
      </c>
      <c r="F45" s="8">
        <f t="shared" ca="1" si="1"/>
        <v>1</v>
      </c>
      <c r="G45" s="5" t="str">
        <f t="shared" ca="1" si="2"/>
        <v>注文して下さい</v>
      </c>
      <c r="H45" s="8">
        <f ca="1">+SUMIF(持出明細表!$D$4:$F$128,C45,持出明細表!$F$4:$F$128)</f>
        <v>0</v>
      </c>
      <c r="I45" s="8">
        <f ca="1">+SUMIF(持出明細表!$D$4:$G$128,C45,持出明細表!$G$4:$G$128)</f>
        <v>12</v>
      </c>
      <c r="J45" s="5">
        <v>3</v>
      </c>
      <c r="K45" s="5"/>
      <c r="N45" t="str">
        <f t="shared" si="0"/>
        <v>蛍光ペン　ピンク</v>
      </c>
    </row>
    <row r="46" spans="2:14">
      <c r="B46" s="5" t="s">
        <v>56</v>
      </c>
      <c r="C46" s="5">
        <v>44</v>
      </c>
      <c r="D46" s="5">
        <v>14</v>
      </c>
      <c r="E46" s="5">
        <v>10</v>
      </c>
      <c r="F46" s="8">
        <f ca="1">+D46+H46-I46</f>
        <v>12</v>
      </c>
      <c r="G46" s="5" t="str">
        <f t="shared" ca="1" si="2"/>
        <v/>
      </c>
      <c r="H46" s="8">
        <f ca="1">+SUMIF(持出明細表!$D$4:$F$128,C46,持出明細表!$F$4:$F$128)</f>
        <v>0</v>
      </c>
      <c r="I46" s="8">
        <f ca="1">+SUMIF(持出明細表!$D$4:$G$128,C46,持出明細表!$G$4:$G$128)</f>
        <v>2</v>
      </c>
      <c r="J46" s="5">
        <v>3</v>
      </c>
      <c r="K46" s="5"/>
      <c r="N46" t="str">
        <f t="shared" si="0"/>
        <v>蛍光ペン　イエロー</v>
      </c>
    </row>
    <row r="47" spans="2:14">
      <c r="B47" s="5" t="s">
        <v>57</v>
      </c>
      <c r="C47" s="5">
        <v>45</v>
      </c>
      <c r="D47" s="5">
        <v>13</v>
      </c>
      <c r="E47" s="5">
        <v>10</v>
      </c>
      <c r="F47" s="8">
        <f t="shared" ca="1" si="1"/>
        <v>13</v>
      </c>
      <c r="G47" s="5" t="str">
        <f t="shared" ca="1" si="2"/>
        <v/>
      </c>
      <c r="H47" s="8">
        <f ca="1">+SUMIF(持出明細表!$D$4:$F$128,C47,持出明細表!$F$4:$F$128)</f>
        <v>0</v>
      </c>
      <c r="I47" s="8">
        <f ca="1">+SUMIF(持出明細表!$D$4:$G$128,C47,持出明細表!$G$4:$G$128)</f>
        <v>0</v>
      </c>
      <c r="J47" s="5">
        <v>3</v>
      </c>
      <c r="K47" s="5"/>
      <c r="N47" t="str">
        <f t="shared" si="0"/>
        <v>蛍光ペン　オレンジ</v>
      </c>
    </row>
    <row r="48" spans="2:14">
      <c r="B48" s="5" t="s">
        <v>58</v>
      </c>
      <c r="C48" s="5">
        <v>46</v>
      </c>
      <c r="D48" s="5">
        <v>10</v>
      </c>
      <c r="E48" s="5">
        <v>10</v>
      </c>
      <c r="F48" s="8">
        <f t="shared" ca="1" si="1"/>
        <v>2</v>
      </c>
      <c r="G48" s="5" t="str">
        <f ca="1">IF(B48=0,"",+IF(F48&lt;=J48,"注文して下さい",""))</f>
        <v>注文して下さい</v>
      </c>
      <c r="H48" s="8">
        <f ca="1">+SUMIF(持出明細表!$D$4:$F$128,C48,持出明細表!$F$4:$F$128)</f>
        <v>0</v>
      </c>
      <c r="I48" s="8">
        <f ca="1">+SUMIF(持出明細表!$D$4:$G$128,C48,持出明細表!$G$4:$G$128)</f>
        <v>8</v>
      </c>
      <c r="J48" s="5">
        <v>3</v>
      </c>
      <c r="K48" s="5"/>
      <c r="N48" t="str">
        <f t="shared" si="0"/>
        <v>蛍光ペン　ブルー</v>
      </c>
    </row>
    <row r="49" spans="2:14">
      <c r="B49" s="5" t="s">
        <v>59</v>
      </c>
      <c r="C49" s="5">
        <v>47</v>
      </c>
      <c r="D49" s="5">
        <v>8</v>
      </c>
      <c r="E49" s="5">
        <v>10</v>
      </c>
      <c r="F49" s="8">
        <f t="shared" ca="1" si="1"/>
        <v>8</v>
      </c>
      <c r="G49" s="5" t="str">
        <f t="shared" ca="1" si="2"/>
        <v/>
      </c>
      <c r="H49" s="8">
        <f ca="1">+SUMIF(持出明細表!$D$4:$F$128,C49,持出明細表!$F$4:$F$128)</f>
        <v>0</v>
      </c>
      <c r="I49" s="8">
        <f ca="1">+SUMIF(持出明細表!$D$4:$G$128,C49,持出明細表!$G$4:$G$128)</f>
        <v>0</v>
      </c>
      <c r="J49" s="5">
        <v>3</v>
      </c>
      <c r="K49" s="5"/>
      <c r="N49" t="str">
        <f t="shared" si="0"/>
        <v>蛍光ペン　グリーン</v>
      </c>
    </row>
    <row r="50" spans="2:14">
      <c r="B50" s="5" t="s">
        <v>60</v>
      </c>
      <c r="C50" s="5">
        <v>48</v>
      </c>
      <c r="D50" s="5">
        <v>5</v>
      </c>
      <c r="E50" s="5">
        <v>10</v>
      </c>
      <c r="F50" s="8">
        <f t="shared" ca="1" si="1"/>
        <v>5</v>
      </c>
      <c r="G50" s="5" t="str">
        <f t="shared" ca="1" si="2"/>
        <v/>
      </c>
      <c r="H50" s="8">
        <f ca="1">+SUMIF(持出明細表!$D$4:$F$128,C50,持出明細表!$F$4:$F$128)</f>
        <v>0</v>
      </c>
      <c r="I50" s="8">
        <f ca="1">+SUMIF(持出明細表!$D$4:$G$128,C50,持出明細表!$G$4:$G$128)</f>
        <v>0</v>
      </c>
      <c r="J50" s="5">
        <v>3</v>
      </c>
      <c r="K50" s="5"/>
      <c r="N50" t="str">
        <f t="shared" si="0"/>
        <v>蛍光ペン　紫</v>
      </c>
    </row>
    <row r="51" spans="2:14">
      <c r="B51" s="5" t="s">
        <v>61</v>
      </c>
      <c r="C51" s="5">
        <v>49</v>
      </c>
      <c r="D51" s="5">
        <v>11</v>
      </c>
      <c r="E51" s="5">
        <v>10</v>
      </c>
      <c r="F51" s="8">
        <f t="shared" ca="1" si="1"/>
        <v>11</v>
      </c>
      <c r="G51" s="5" t="str">
        <f t="shared" ca="1" si="2"/>
        <v/>
      </c>
      <c r="H51" s="8">
        <f ca="1">+SUMIF(持出明細表!$D$4:$F$128,C51,持出明細表!$F$4:$F$128)</f>
        <v>0</v>
      </c>
      <c r="I51" s="8">
        <f ca="1">+SUMIF(持出明細表!$D$4:$G$128,C51,持出明細表!$G$4:$G$128)</f>
        <v>0</v>
      </c>
      <c r="J51" s="5">
        <v>2</v>
      </c>
      <c r="K51" s="5"/>
      <c r="N51" t="str">
        <f t="shared" si="0"/>
        <v>水性ボールペン　黒</v>
      </c>
    </row>
    <row r="52" spans="2:14">
      <c r="B52" s="5" t="s">
        <v>62</v>
      </c>
      <c r="C52" s="5">
        <v>50</v>
      </c>
      <c r="D52" s="5">
        <v>14</v>
      </c>
      <c r="E52" s="5">
        <v>10</v>
      </c>
      <c r="F52" s="8">
        <f t="shared" ca="1" si="1"/>
        <v>14</v>
      </c>
      <c r="G52" s="5" t="str">
        <f t="shared" ca="1" si="2"/>
        <v/>
      </c>
      <c r="H52" s="8">
        <f ca="1">+SUMIF(持出明細表!$D$4:$F$128,C52,持出明細表!$F$4:$F$128)</f>
        <v>0</v>
      </c>
      <c r="I52" s="8">
        <f ca="1">+SUMIF(持出明細表!$D$4:$G$128,C52,持出明細表!$G$4:$G$128)</f>
        <v>0</v>
      </c>
      <c r="J52" s="5">
        <v>2</v>
      </c>
      <c r="K52" s="5"/>
      <c r="N52" t="str">
        <f t="shared" si="0"/>
        <v>水性ボールペン　赤</v>
      </c>
    </row>
    <row r="53" spans="2:14">
      <c r="B53" s="5" t="s">
        <v>63</v>
      </c>
      <c r="C53" s="5">
        <v>51</v>
      </c>
      <c r="D53" s="5">
        <v>12</v>
      </c>
      <c r="E53" s="5">
        <v>10</v>
      </c>
      <c r="F53" s="8">
        <f t="shared" ca="1" si="1"/>
        <v>10</v>
      </c>
      <c r="G53" s="5" t="str">
        <f t="shared" ca="1" si="2"/>
        <v/>
      </c>
      <c r="H53" s="8">
        <f ca="1">+SUMIF(持出明細表!$D$4:$F$128,C53,持出明細表!$F$4:$F$128)</f>
        <v>0</v>
      </c>
      <c r="I53" s="8">
        <f ca="1">+SUMIF(持出明細表!$D$4:$G$128,C53,持出明細表!$G$4:$G$128)</f>
        <v>2</v>
      </c>
      <c r="J53" s="5">
        <v>2</v>
      </c>
      <c r="K53" s="5"/>
      <c r="N53" t="str">
        <f t="shared" si="0"/>
        <v>水性ボールペン　青</v>
      </c>
    </row>
    <row r="54" spans="2:14">
      <c r="B54" s="5" t="s">
        <v>64</v>
      </c>
      <c r="C54" s="5">
        <v>52</v>
      </c>
      <c r="D54" s="5">
        <v>6</v>
      </c>
      <c r="E54" s="5">
        <v>10</v>
      </c>
      <c r="F54" s="8">
        <f t="shared" ca="1" si="1"/>
        <v>6</v>
      </c>
      <c r="G54" s="5" t="str">
        <f t="shared" ca="1" si="2"/>
        <v/>
      </c>
      <c r="H54" s="8">
        <f ca="1">+SUMIF(持出明細表!$D$4:$F$128,C54,持出明細表!$F$4:$F$128)</f>
        <v>0</v>
      </c>
      <c r="I54" s="8">
        <f ca="1">+SUMIF(持出明細表!$D$4:$G$128,C54,持出明細表!$G$4:$G$128)</f>
        <v>0</v>
      </c>
      <c r="J54" s="5">
        <v>2</v>
      </c>
      <c r="K54" s="5"/>
      <c r="N54" t="str">
        <f t="shared" si="0"/>
        <v>水性ボールペン　緑</v>
      </c>
    </row>
    <row r="55" spans="2:14">
      <c r="B55" s="5" t="s">
        <v>65</v>
      </c>
      <c r="C55" s="5">
        <v>53</v>
      </c>
      <c r="D55" s="5">
        <v>7</v>
      </c>
      <c r="E55" s="5">
        <v>10</v>
      </c>
      <c r="F55" s="8">
        <f t="shared" ca="1" si="1"/>
        <v>7</v>
      </c>
      <c r="G55" s="5" t="str">
        <f t="shared" ca="1" si="2"/>
        <v/>
      </c>
      <c r="H55" s="8">
        <f ca="1">+SUMIF(持出明細表!$D$4:$F$128,C55,持出明細表!$F$4:$F$128)</f>
        <v>0</v>
      </c>
      <c r="I55" s="8">
        <f ca="1">+SUMIF(持出明細表!$D$4:$G$128,C55,持出明細表!$G$4:$G$128)</f>
        <v>0</v>
      </c>
      <c r="J55" s="5">
        <v>2</v>
      </c>
      <c r="K55" s="5"/>
      <c r="N55" t="str">
        <f t="shared" si="0"/>
        <v>水性ボールペン　水色</v>
      </c>
    </row>
    <row r="56" spans="2:14">
      <c r="B56" s="5" t="s">
        <v>66</v>
      </c>
      <c r="C56" s="5">
        <v>54</v>
      </c>
      <c r="D56" s="5">
        <v>11</v>
      </c>
      <c r="E56" s="5">
        <v>10</v>
      </c>
      <c r="F56" s="8">
        <f t="shared" ca="1" si="1"/>
        <v>11</v>
      </c>
      <c r="G56" s="5" t="str">
        <f t="shared" ca="1" si="2"/>
        <v/>
      </c>
      <c r="H56" s="8">
        <f ca="1">+SUMIF(持出明細表!$D$4:$F$128,C56,持出明細表!$F$4:$F$128)</f>
        <v>0</v>
      </c>
      <c r="I56" s="8">
        <f ca="1">+SUMIF(持出明細表!$D$4:$G$128,C56,持出明細表!$G$4:$G$128)</f>
        <v>0</v>
      </c>
      <c r="J56" s="5">
        <v>2</v>
      </c>
      <c r="K56" s="5"/>
      <c r="N56" t="str">
        <f t="shared" si="0"/>
        <v>水性ボールペン　ピンク</v>
      </c>
    </row>
    <row r="57" spans="2:14">
      <c r="B57" s="5" t="s">
        <v>67</v>
      </c>
      <c r="C57" s="5">
        <v>55</v>
      </c>
      <c r="D57" s="5">
        <v>4</v>
      </c>
      <c r="E57" s="5">
        <v>10</v>
      </c>
      <c r="F57" s="8">
        <f t="shared" ca="1" si="1"/>
        <v>4</v>
      </c>
      <c r="G57" s="5" t="str">
        <f t="shared" ca="1" si="2"/>
        <v/>
      </c>
      <c r="H57" s="8">
        <f ca="1">+SUMIF(持出明細表!$D$4:$F$128,C57,持出明細表!$F$4:$F$128)</f>
        <v>0</v>
      </c>
      <c r="I57" s="8">
        <f ca="1">+SUMIF(持出明細表!$D$4:$G$128,C57,持出明細表!$G$4:$G$128)</f>
        <v>0</v>
      </c>
      <c r="J57" s="5">
        <v>2</v>
      </c>
      <c r="K57" s="5"/>
      <c r="N57" t="str">
        <f t="shared" si="0"/>
        <v>水性ボールペン　オレンジ</v>
      </c>
    </row>
    <row r="58" spans="2:14">
      <c r="B58" s="5" t="s">
        <v>68</v>
      </c>
      <c r="C58" s="5">
        <v>56</v>
      </c>
      <c r="D58" s="5">
        <v>3</v>
      </c>
      <c r="E58" s="5">
        <v>10</v>
      </c>
      <c r="F58" s="8">
        <f t="shared" ca="1" si="1"/>
        <v>3</v>
      </c>
      <c r="G58" s="5" t="str">
        <f t="shared" ca="1" si="2"/>
        <v/>
      </c>
      <c r="H58" s="8">
        <f ca="1">+SUMIF(持出明細表!$D$4:$F$128,C58,持出明細表!$F$4:$F$128)</f>
        <v>0</v>
      </c>
      <c r="I58" s="8">
        <f ca="1">+SUMIF(持出明細表!$D$4:$G$128,C58,持出明細表!$G$4:$G$128)</f>
        <v>0</v>
      </c>
      <c r="J58" s="5">
        <v>1</v>
      </c>
      <c r="K58" s="5"/>
      <c r="N58" t="str">
        <f t="shared" si="0"/>
        <v>シャープペン</v>
      </c>
    </row>
    <row r="59" spans="2:14">
      <c r="B59" s="5" t="s">
        <v>69</v>
      </c>
      <c r="C59" s="5">
        <v>57</v>
      </c>
      <c r="D59" s="5">
        <v>4</v>
      </c>
      <c r="E59" s="5">
        <v>10</v>
      </c>
      <c r="F59" s="8">
        <f t="shared" ca="1" si="1"/>
        <v>4</v>
      </c>
      <c r="G59" s="5" t="str">
        <f t="shared" ca="1" si="2"/>
        <v/>
      </c>
      <c r="H59" s="8">
        <f ca="1">+SUMIF(持出明細表!$D$4:$F$128,C59,持出明細表!$F$4:$F$128)</f>
        <v>0</v>
      </c>
      <c r="I59" s="8">
        <f ca="1">+SUMIF(持出明細表!$D$4:$G$128,C59,持出明細表!$G$4:$G$128)</f>
        <v>0</v>
      </c>
      <c r="J59" s="5">
        <v>0</v>
      </c>
      <c r="K59" s="5"/>
      <c r="N59" t="str">
        <f t="shared" si="0"/>
        <v>黒鉛筆</v>
      </c>
    </row>
    <row r="60" spans="2:14">
      <c r="B60" s="5" t="s">
        <v>70</v>
      </c>
      <c r="C60" s="5">
        <v>58</v>
      </c>
      <c r="D60" s="5">
        <v>6</v>
      </c>
      <c r="E60" s="5">
        <v>10</v>
      </c>
      <c r="F60" s="8">
        <f t="shared" ca="1" si="1"/>
        <v>6</v>
      </c>
      <c r="G60" s="5" t="str">
        <f t="shared" ca="1" si="2"/>
        <v/>
      </c>
      <c r="H60" s="8">
        <f ca="1">+SUMIF(持出明細表!$D$4:$F$128,C60,持出明細表!$F$4:$F$128)</f>
        <v>0</v>
      </c>
      <c r="I60" s="8">
        <f ca="1">+SUMIF(持出明細表!$D$4:$G$128,C60,持出明細表!$G$4:$G$128)</f>
        <v>0</v>
      </c>
      <c r="J60" s="5">
        <v>1</v>
      </c>
      <c r="K60" s="5"/>
      <c r="N60" t="str">
        <f t="shared" si="0"/>
        <v>赤鉛筆</v>
      </c>
    </row>
    <row r="61" spans="2:14">
      <c r="B61" s="5" t="s">
        <v>71</v>
      </c>
      <c r="C61" s="5">
        <v>59</v>
      </c>
      <c r="D61" s="5">
        <v>11</v>
      </c>
      <c r="E61" s="5">
        <v>10</v>
      </c>
      <c r="F61" s="8">
        <f t="shared" ca="1" si="1"/>
        <v>11</v>
      </c>
      <c r="G61" s="5" t="str">
        <f t="shared" ca="1" si="2"/>
        <v/>
      </c>
      <c r="H61" s="8">
        <f ca="1">+SUMIF(持出明細表!$D$4:$F$128,C61,持出明細表!$F$4:$F$128)</f>
        <v>0</v>
      </c>
      <c r="I61" s="8">
        <f ca="1">+SUMIF(持出明細表!$D$4:$G$128,C61,持出明細表!$G$4:$G$128)</f>
        <v>0</v>
      </c>
      <c r="J61" s="5">
        <v>0</v>
      </c>
      <c r="K61" s="5"/>
      <c r="N61" t="str">
        <f t="shared" si="0"/>
        <v>青鉛筆</v>
      </c>
    </row>
    <row r="62" spans="2:14">
      <c r="B62" s="5" t="s">
        <v>72</v>
      </c>
      <c r="C62" s="5">
        <v>60</v>
      </c>
      <c r="D62" s="5">
        <v>6</v>
      </c>
      <c r="E62" s="5">
        <v>10</v>
      </c>
      <c r="F62" s="8">
        <f t="shared" ca="1" si="1"/>
        <v>6</v>
      </c>
      <c r="G62" s="5" t="str">
        <f t="shared" ca="1" si="2"/>
        <v/>
      </c>
      <c r="H62" s="8">
        <f ca="1">+SUMIF(持出明細表!$D$4:$F$128,C62,持出明細表!$F$4:$F$128)</f>
        <v>0</v>
      </c>
      <c r="I62" s="8">
        <f ca="1">+SUMIF(持出明細表!$D$4:$G$128,C62,持出明細表!$G$4:$G$128)</f>
        <v>0</v>
      </c>
      <c r="J62" s="5">
        <v>0</v>
      </c>
      <c r="K62" s="5"/>
      <c r="N62" t="str">
        <f t="shared" si="0"/>
        <v>黄緑鉛筆</v>
      </c>
    </row>
    <row r="63" spans="2:14">
      <c r="B63" s="5" t="s">
        <v>73</v>
      </c>
      <c r="C63" s="5">
        <v>61</v>
      </c>
      <c r="D63" s="5">
        <v>12</v>
      </c>
      <c r="E63" s="5">
        <v>10</v>
      </c>
      <c r="F63" s="8">
        <f t="shared" ca="1" si="1"/>
        <v>12</v>
      </c>
      <c r="G63" s="5" t="str">
        <f t="shared" ca="1" si="2"/>
        <v/>
      </c>
      <c r="H63" s="8">
        <f ca="1">+SUMIF(持出明細表!$D$4:$F$128,C63,持出明細表!$F$4:$F$128)</f>
        <v>0</v>
      </c>
      <c r="I63" s="8">
        <f ca="1">+SUMIF(持出明細表!$D$4:$G$128,C63,持出明細表!$G$4:$G$128)</f>
        <v>0</v>
      </c>
      <c r="J63" s="5">
        <v>0</v>
      </c>
      <c r="K63" s="5"/>
      <c r="N63" t="str">
        <f t="shared" si="0"/>
        <v>薄橙鉛筆</v>
      </c>
    </row>
    <row r="64" spans="2:14">
      <c r="B64" s="5" t="s">
        <v>74</v>
      </c>
      <c r="C64" s="5">
        <v>62</v>
      </c>
      <c r="D64" s="5">
        <v>13</v>
      </c>
      <c r="E64" s="5">
        <v>10</v>
      </c>
      <c r="F64" s="8">
        <f t="shared" ca="1" si="1"/>
        <v>13</v>
      </c>
      <c r="G64" s="5" t="str">
        <f t="shared" ca="1" si="2"/>
        <v/>
      </c>
      <c r="H64" s="8">
        <f ca="1">+SUMIF(持出明細表!$D$4:$F$128,C64,持出明細表!$F$4:$F$128)</f>
        <v>0</v>
      </c>
      <c r="I64" s="8">
        <f ca="1">+SUMIF(持出明細表!$D$4:$G$128,C64,持出明細表!$G$4:$G$128)</f>
        <v>0</v>
      </c>
      <c r="J64" s="5">
        <v>0</v>
      </c>
      <c r="K64" s="5"/>
      <c r="N64" t="str">
        <f t="shared" si="0"/>
        <v>水色鉛筆</v>
      </c>
    </row>
    <row r="65" spans="2:14">
      <c r="B65" s="5" t="s">
        <v>75</v>
      </c>
      <c r="C65" s="5">
        <v>63</v>
      </c>
      <c r="D65" s="5">
        <v>10</v>
      </c>
      <c r="E65" s="5">
        <v>10</v>
      </c>
      <c r="F65" s="8">
        <f ca="1">+D65+H65-I65</f>
        <v>5</v>
      </c>
      <c r="G65" s="5" t="str">
        <f t="shared" ca="1" si="2"/>
        <v/>
      </c>
      <c r="H65" s="8">
        <f ca="1">+SUMIF(持出明細表!$D$4:$F$128,C65,持出明細表!$F$4:$F$128)</f>
        <v>0</v>
      </c>
      <c r="I65" s="8">
        <f ca="1">+SUMIF(持出明細表!$D$4:$G$128,C65,持出明細表!$G$4:$G$128)</f>
        <v>5</v>
      </c>
      <c r="J65" s="5">
        <v>2</v>
      </c>
      <c r="K65" s="5"/>
      <c r="N65" t="str">
        <f t="shared" si="0"/>
        <v>のり　大</v>
      </c>
    </row>
    <row r="66" spans="2:14">
      <c r="B66" s="5" t="s">
        <v>76</v>
      </c>
      <c r="C66" s="5">
        <v>64</v>
      </c>
      <c r="D66" s="5">
        <v>19</v>
      </c>
      <c r="E66" s="5">
        <v>20</v>
      </c>
      <c r="F66" s="8">
        <f t="shared" ca="1" si="1"/>
        <v>19</v>
      </c>
      <c r="G66" s="5" t="str">
        <f t="shared" ca="1" si="2"/>
        <v/>
      </c>
      <c r="H66" s="8">
        <f ca="1">+SUMIF(持出明細表!$D$4:$F$128,C66,持出明細表!$F$4:$F$128)</f>
        <v>0</v>
      </c>
      <c r="I66" s="8">
        <f ca="1">+SUMIF(持出明細表!$D$4:$G$128,C66,持出明細表!$G$4:$G$128)</f>
        <v>0</v>
      </c>
      <c r="J66" s="5">
        <v>2</v>
      </c>
      <c r="K66" s="5"/>
      <c r="N66" t="str">
        <f t="shared" si="0"/>
        <v>のり　小</v>
      </c>
    </row>
    <row r="67" spans="2:14">
      <c r="B67" s="5" t="s">
        <v>77</v>
      </c>
      <c r="C67" s="5">
        <v>65</v>
      </c>
      <c r="D67" s="5">
        <v>31</v>
      </c>
      <c r="E67" s="5">
        <v>40</v>
      </c>
      <c r="F67" s="8">
        <f t="shared" ca="1" si="1"/>
        <v>31</v>
      </c>
      <c r="G67" s="5" t="str">
        <f t="shared" ca="1" si="2"/>
        <v/>
      </c>
      <c r="H67" s="8">
        <f ca="1">+SUMIF(持出明細表!$D$4:$F$128,C67,持出明細表!$F$4:$F$128)</f>
        <v>0</v>
      </c>
      <c r="I67" s="8">
        <f ca="1">+SUMIF(持出明細表!$D$4:$G$128,C67,持出明細表!$G$4:$G$128)</f>
        <v>0</v>
      </c>
      <c r="J67" s="5">
        <v>1</v>
      </c>
      <c r="K67" s="5"/>
      <c r="N67" t="str">
        <f t="shared" si="0"/>
        <v>消しゴム</v>
      </c>
    </row>
    <row r="68" spans="2:14">
      <c r="B68" s="5" t="s">
        <v>78</v>
      </c>
      <c r="C68" s="5">
        <v>66</v>
      </c>
      <c r="D68" s="5">
        <v>10</v>
      </c>
      <c r="E68" s="5">
        <v>10</v>
      </c>
      <c r="F68" s="8">
        <f t="shared" ref="F68" ca="1" si="3">+D68+H68-I68</f>
        <v>10</v>
      </c>
      <c r="G68" s="5" t="str">
        <f t="shared" ref="G68:G77" ca="1" si="4">IF(B68=0,"",+IF(F68&lt;=J68,"注文して下さい",""))</f>
        <v/>
      </c>
      <c r="H68" s="8">
        <f ca="1">+SUMIF(持出明細表!$D$4:$F$128,C68,持出明細表!$F$4:$F$128)</f>
        <v>0</v>
      </c>
      <c r="I68" s="8">
        <f ca="1">+SUMIF(持出明細表!$D$4:$G$128,C68,持出明細表!$G$4:$G$128)</f>
        <v>0</v>
      </c>
      <c r="J68" s="5">
        <v>2</v>
      </c>
      <c r="K68" s="5"/>
      <c r="N68" t="str">
        <f t="shared" ref="N68:N77" si="5">B68</f>
        <v>修正テープカートリッジ</v>
      </c>
    </row>
    <row r="69" spans="2:14">
      <c r="B69" s="5" t="s">
        <v>79</v>
      </c>
      <c r="C69" s="5">
        <v>67</v>
      </c>
      <c r="D69" s="5">
        <v>7</v>
      </c>
      <c r="E69" s="5">
        <v>10</v>
      </c>
      <c r="F69" s="8">
        <f t="shared" ref="F69:F77" ca="1" si="6">+D69+H69-I69</f>
        <v>7</v>
      </c>
      <c r="G69" s="5" t="str">
        <f t="shared" ca="1" si="4"/>
        <v/>
      </c>
      <c r="H69" s="8">
        <f ca="1">+SUMIF(持出明細表!$D$4:$F$128,C69,持出明細表!$F$4:$F$128)</f>
        <v>0</v>
      </c>
      <c r="I69" s="8">
        <f ca="1">+SUMIF(持出明細表!$D$4:$G$128,C69,持出明細表!$G$4:$G$128)</f>
        <v>0</v>
      </c>
      <c r="J69" s="5">
        <v>1</v>
      </c>
      <c r="K69" s="5"/>
      <c r="N69" t="str">
        <f t="shared" si="5"/>
        <v>修正ペン</v>
      </c>
    </row>
    <row r="70" spans="2:14">
      <c r="B70" s="5"/>
      <c r="C70" s="5">
        <v>68</v>
      </c>
      <c r="D70" s="5"/>
      <c r="E70" s="5"/>
      <c r="F70" s="8">
        <f t="shared" ca="1" si="6"/>
        <v>0</v>
      </c>
      <c r="G70" s="5" t="str">
        <f t="shared" si="4"/>
        <v/>
      </c>
      <c r="H70" s="8">
        <f ca="1">+SUMIF(持出明細表!$D$4:$F$128,C70,持出明細表!$F$4:$F$128)</f>
        <v>0</v>
      </c>
      <c r="I70" s="8">
        <f ca="1">+SUMIF(持出明細表!$D$4:$G$128,C70,持出明細表!$G$4:$G$128)</f>
        <v>0</v>
      </c>
      <c r="J70" s="5"/>
      <c r="K70" s="5"/>
      <c r="N70">
        <f t="shared" si="5"/>
        <v>0</v>
      </c>
    </row>
    <row r="71" spans="2:14">
      <c r="B71" s="5"/>
      <c r="C71" s="5">
        <v>69</v>
      </c>
      <c r="D71" s="5"/>
      <c r="E71" s="5"/>
      <c r="F71" s="8">
        <f t="shared" ca="1" si="6"/>
        <v>0</v>
      </c>
      <c r="G71" s="5" t="str">
        <f t="shared" si="4"/>
        <v/>
      </c>
      <c r="H71" s="8">
        <f ca="1">+SUMIF(持出明細表!$D$4:$F$128,C71,持出明細表!$F$4:$F$128)</f>
        <v>0</v>
      </c>
      <c r="I71" s="8">
        <f ca="1">+SUMIF(持出明細表!$D$4:$G$128,C71,持出明細表!$G$4:$G$128)</f>
        <v>0</v>
      </c>
      <c r="J71" s="5"/>
      <c r="K71" s="5"/>
      <c r="N71">
        <f t="shared" si="5"/>
        <v>0</v>
      </c>
    </row>
    <row r="72" spans="2:14">
      <c r="B72" s="5"/>
      <c r="C72" s="5">
        <v>70</v>
      </c>
      <c r="D72" s="5"/>
      <c r="E72" s="5"/>
      <c r="F72" s="8">
        <f t="shared" ca="1" si="6"/>
        <v>0</v>
      </c>
      <c r="G72" s="5" t="str">
        <f t="shared" si="4"/>
        <v/>
      </c>
      <c r="H72" s="8">
        <f ca="1">+SUMIF(持出明細表!$D$4:$F$128,C72,持出明細表!$F$4:$F$128)</f>
        <v>0</v>
      </c>
      <c r="I72" s="8">
        <f ca="1">+SUMIF(持出明細表!$D$4:$G$128,C72,持出明細表!$G$4:$G$128)</f>
        <v>0</v>
      </c>
      <c r="J72" s="5"/>
      <c r="K72" s="5"/>
      <c r="N72">
        <f t="shared" si="5"/>
        <v>0</v>
      </c>
    </row>
    <row r="73" spans="2:14">
      <c r="B73" s="5"/>
      <c r="C73" s="5">
        <v>71</v>
      </c>
      <c r="D73" s="5"/>
      <c r="E73" s="5"/>
      <c r="F73" s="8">
        <f t="shared" ca="1" si="6"/>
        <v>0</v>
      </c>
      <c r="G73" s="5" t="str">
        <f t="shared" si="4"/>
        <v/>
      </c>
      <c r="H73" s="8">
        <f ca="1">+SUMIF(持出明細表!$D$4:$F$128,C73,持出明細表!$F$4:$F$128)</f>
        <v>0</v>
      </c>
      <c r="I73" s="8">
        <f ca="1">+SUMIF(持出明細表!$D$4:$G$128,C73,持出明細表!$G$4:$G$128)</f>
        <v>0</v>
      </c>
      <c r="J73" s="5"/>
      <c r="K73" s="5"/>
      <c r="N73">
        <f t="shared" si="5"/>
        <v>0</v>
      </c>
    </row>
    <row r="74" spans="2:14">
      <c r="B74" s="5"/>
      <c r="C74" s="5">
        <v>72</v>
      </c>
      <c r="D74" s="5"/>
      <c r="E74" s="5"/>
      <c r="F74" s="8">
        <f t="shared" ca="1" si="6"/>
        <v>0</v>
      </c>
      <c r="G74" s="5" t="str">
        <f t="shared" si="4"/>
        <v/>
      </c>
      <c r="H74" s="8">
        <f ca="1">+SUMIF(持出明細表!$D$4:$F$128,C74,持出明細表!$F$4:$F$128)</f>
        <v>0</v>
      </c>
      <c r="I74" s="8">
        <f ca="1">+SUMIF(持出明細表!$D$4:$G$128,C74,持出明細表!$G$4:$G$128)</f>
        <v>0</v>
      </c>
      <c r="J74" s="5"/>
      <c r="K74" s="5"/>
      <c r="N74">
        <f t="shared" si="5"/>
        <v>0</v>
      </c>
    </row>
    <row r="75" spans="2:14">
      <c r="B75" s="5"/>
      <c r="C75" s="5">
        <v>73</v>
      </c>
      <c r="D75" s="5"/>
      <c r="E75" s="5"/>
      <c r="F75" s="8">
        <f t="shared" ca="1" si="6"/>
        <v>0</v>
      </c>
      <c r="G75" s="5" t="str">
        <f t="shared" si="4"/>
        <v/>
      </c>
      <c r="H75" s="8">
        <f ca="1">+SUMIF(持出明細表!$D$4:$F$128,C75,持出明細表!$F$4:$F$128)</f>
        <v>0</v>
      </c>
      <c r="I75" s="8">
        <f ca="1">+SUMIF(持出明細表!$D$4:$G$128,C75,持出明細表!$G$4:$G$128)</f>
        <v>0</v>
      </c>
      <c r="J75" s="5"/>
      <c r="K75" s="5"/>
      <c r="N75">
        <f t="shared" si="5"/>
        <v>0</v>
      </c>
    </row>
    <row r="76" spans="2:14">
      <c r="B76" s="5"/>
      <c r="C76" s="5">
        <v>74</v>
      </c>
      <c r="D76" s="5"/>
      <c r="E76" s="5"/>
      <c r="F76" s="8">
        <f t="shared" ca="1" si="6"/>
        <v>0</v>
      </c>
      <c r="G76" s="5" t="str">
        <f t="shared" si="4"/>
        <v/>
      </c>
      <c r="H76" s="8">
        <f ca="1">+SUMIF(持出明細表!$D$4:$F$128,C76,持出明細表!$F$4:$F$128)</f>
        <v>0</v>
      </c>
      <c r="I76" s="8">
        <f ca="1">+SUMIF(持出明細表!$D$4:$G$128,C76,持出明細表!$G$4:$G$128)</f>
        <v>0</v>
      </c>
      <c r="J76" s="5"/>
      <c r="K76" s="5"/>
      <c r="N76">
        <f t="shared" si="5"/>
        <v>0</v>
      </c>
    </row>
    <row r="77" spans="2:14">
      <c r="B77" s="5"/>
      <c r="C77" s="5">
        <v>75</v>
      </c>
      <c r="D77" s="5"/>
      <c r="E77" s="5"/>
      <c r="F77" s="8">
        <f t="shared" ca="1" si="6"/>
        <v>0</v>
      </c>
      <c r="G77" s="5" t="str">
        <f t="shared" si="4"/>
        <v/>
      </c>
      <c r="H77" s="8">
        <f ca="1">+SUMIF(持出明細表!$D$4:$F$128,C77,持出明細表!$F$4:$F$128)</f>
        <v>0</v>
      </c>
      <c r="I77" s="8">
        <f ca="1">+SUMIF(持出明細表!$D$4:$G$128,C77,持出明細表!$G$4:$G$128)</f>
        <v>0</v>
      </c>
      <c r="J77" s="5"/>
      <c r="K77" s="5"/>
      <c r="N77">
        <f t="shared" si="5"/>
        <v>0</v>
      </c>
    </row>
  </sheetData>
  <phoneticPr fontId="1"/>
  <conditionalFormatting sqref="G3:G77">
    <cfRule type="cellIs" dxfId="0" priority="2" stopIfTrue="1" operator="equal">
      <formula>"注文して下さい"</formula>
    </cfRule>
  </conditionalFormatting>
  <pageMargins left="0.23622047244094491" right="0.23622047244094491" top="0.74803149606299213" bottom="0" header="0.31496062992125984" footer="0.31496062992125984"/>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1F54-889B-4CAF-8B2C-F718FCFCFE58}">
  <sheetPr>
    <pageSetUpPr fitToPage="1"/>
  </sheetPr>
  <dimension ref="A1:P24"/>
  <sheetViews>
    <sheetView workbookViewId="0">
      <selection activeCell="B3" sqref="B3:F3"/>
    </sheetView>
  </sheetViews>
  <sheetFormatPr defaultRowHeight="21.75" customHeight="1"/>
  <cols>
    <col min="3" max="3" width="60.4609375" bestFit="1" customWidth="1"/>
  </cols>
  <sheetData>
    <row r="1" spans="1:16" s="22" customFormat="1" ht="33" customHeight="1">
      <c r="A1" s="32" t="s">
        <v>104</v>
      </c>
      <c r="B1" s="32"/>
      <c r="C1" s="32"/>
      <c r="D1" s="32"/>
      <c r="E1" s="32"/>
      <c r="F1" s="32"/>
      <c r="G1" s="32"/>
      <c r="H1" s="32"/>
      <c r="I1" s="32"/>
      <c r="J1" s="32"/>
      <c r="K1" s="32"/>
    </row>
    <row r="2" spans="1:16" s="22" customFormat="1" ht="33" customHeight="1">
      <c r="H2" s="26"/>
      <c r="I2" s="33" t="s">
        <v>105</v>
      </c>
      <c r="J2" s="33"/>
      <c r="K2" s="23" t="s">
        <v>106</v>
      </c>
      <c r="M2" s="31" t="s">
        <v>118</v>
      </c>
      <c r="N2" s="31"/>
      <c r="O2" s="31"/>
      <c r="P2" s="31"/>
    </row>
    <row r="3" spans="1:16" s="22" customFormat="1" ht="33" customHeight="1">
      <c r="B3" s="34"/>
      <c r="C3" s="34"/>
      <c r="D3" s="34"/>
      <c r="E3" s="34"/>
      <c r="F3" s="34"/>
      <c r="G3" s="24"/>
      <c r="I3" s="29" t="s">
        <v>115</v>
      </c>
      <c r="J3" s="29"/>
      <c r="K3" s="30"/>
    </row>
    <row r="4" spans="1:16" s="22" customFormat="1" ht="21.75" customHeight="1">
      <c r="A4" s="23"/>
      <c r="B4" s="27" t="s">
        <v>107</v>
      </c>
      <c r="C4" s="27" t="s">
        <v>108</v>
      </c>
      <c r="D4" s="23" t="s">
        <v>109</v>
      </c>
      <c r="E4" s="27" t="s">
        <v>110</v>
      </c>
      <c r="F4" s="23" t="s">
        <v>111</v>
      </c>
      <c r="G4" s="23" t="s">
        <v>117</v>
      </c>
      <c r="H4" s="23" t="s">
        <v>116</v>
      </c>
      <c r="I4" s="23" t="s">
        <v>112</v>
      </c>
      <c r="J4" s="25" t="s">
        <v>113</v>
      </c>
      <c r="K4" s="25" t="s">
        <v>114</v>
      </c>
    </row>
    <row r="5" spans="1:16" ht="21.75" customHeight="1">
      <c r="A5" s="5">
        <v>1</v>
      </c>
      <c r="B5" s="28" t="s">
        <v>103</v>
      </c>
      <c r="C5" s="28" t="s">
        <v>94</v>
      </c>
      <c r="D5" s="5">
        <v>1</v>
      </c>
      <c r="E5" s="28">
        <v>1045</v>
      </c>
      <c r="F5" s="5">
        <f>+D5*E5</f>
        <v>1045</v>
      </c>
      <c r="G5" s="5"/>
      <c r="H5" s="5"/>
      <c r="I5" s="5"/>
      <c r="J5" s="5"/>
      <c r="K5" s="5"/>
    </row>
    <row r="6" spans="1:16" ht="21.75" customHeight="1">
      <c r="A6" s="5">
        <v>2</v>
      </c>
      <c r="B6" s="28"/>
      <c r="C6" s="28"/>
      <c r="D6" s="5"/>
      <c r="E6" s="28"/>
      <c r="F6" s="5">
        <f t="shared" ref="F6:F24" si="0">+D6*E6</f>
        <v>0</v>
      </c>
      <c r="G6" s="5"/>
      <c r="H6" s="5"/>
      <c r="I6" s="5"/>
      <c r="J6" s="5"/>
      <c r="K6" s="5"/>
    </row>
    <row r="7" spans="1:16" ht="21.75" customHeight="1">
      <c r="A7" s="5">
        <v>3</v>
      </c>
      <c r="B7" s="28"/>
      <c r="C7" s="28"/>
      <c r="D7" s="5"/>
      <c r="E7" s="28"/>
      <c r="F7" s="5">
        <f t="shared" si="0"/>
        <v>0</v>
      </c>
      <c r="G7" s="5"/>
      <c r="H7" s="5"/>
      <c r="I7" s="5"/>
      <c r="J7" s="5"/>
      <c r="K7" s="5"/>
    </row>
    <row r="8" spans="1:16" ht="21.75" customHeight="1">
      <c r="A8" s="5">
        <v>4</v>
      </c>
      <c r="B8" s="28"/>
      <c r="C8" s="28"/>
      <c r="D8" s="5"/>
      <c r="E8" s="28"/>
      <c r="F8" s="5">
        <f t="shared" si="0"/>
        <v>0</v>
      </c>
      <c r="G8" s="5"/>
      <c r="H8" s="5"/>
      <c r="I8" s="5"/>
      <c r="J8" s="5"/>
      <c r="K8" s="5"/>
    </row>
    <row r="9" spans="1:16" ht="21.75" customHeight="1">
      <c r="A9" s="5">
        <v>5</v>
      </c>
      <c r="B9" s="28"/>
      <c r="C9" s="28"/>
      <c r="D9" s="5"/>
      <c r="E9" s="28"/>
      <c r="F9" s="5">
        <f t="shared" si="0"/>
        <v>0</v>
      </c>
      <c r="G9" s="5"/>
      <c r="H9" s="5"/>
      <c r="I9" s="5"/>
      <c r="J9" s="5"/>
      <c r="K9" s="5"/>
    </row>
    <row r="10" spans="1:16" ht="21.75" customHeight="1">
      <c r="A10" s="5">
        <v>6</v>
      </c>
      <c r="B10" s="28"/>
      <c r="C10" s="28"/>
      <c r="D10" s="5"/>
      <c r="E10" s="28"/>
      <c r="F10" s="5">
        <f t="shared" si="0"/>
        <v>0</v>
      </c>
      <c r="G10" s="5"/>
      <c r="H10" s="5"/>
      <c r="I10" s="5"/>
      <c r="J10" s="5"/>
      <c r="K10" s="5"/>
    </row>
    <row r="11" spans="1:16" ht="21.75" customHeight="1">
      <c r="A11" s="5">
        <v>7</v>
      </c>
      <c r="B11" s="28"/>
      <c r="C11" s="28"/>
      <c r="D11" s="5"/>
      <c r="E11" s="28"/>
      <c r="F11" s="5">
        <f t="shared" si="0"/>
        <v>0</v>
      </c>
      <c r="G11" s="5"/>
      <c r="H11" s="5"/>
      <c r="I11" s="5"/>
      <c r="J11" s="5"/>
      <c r="K11" s="5"/>
    </row>
    <row r="12" spans="1:16" ht="21.75" customHeight="1">
      <c r="A12" s="5">
        <v>8</v>
      </c>
      <c r="B12" s="28"/>
      <c r="C12" s="28"/>
      <c r="D12" s="5"/>
      <c r="E12" s="28"/>
      <c r="F12" s="5">
        <f t="shared" si="0"/>
        <v>0</v>
      </c>
      <c r="G12" s="5"/>
      <c r="H12" s="5"/>
      <c r="I12" s="5"/>
      <c r="J12" s="5"/>
      <c r="K12" s="5"/>
    </row>
    <row r="13" spans="1:16" ht="21.75" customHeight="1">
      <c r="A13" s="5">
        <v>9</v>
      </c>
      <c r="B13" s="28"/>
      <c r="C13" s="28"/>
      <c r="D13" s="5"/>
      <c r="E13" s="28"/>
      <c r="F13" s="5">
        <f t="shared" si="0"/>
        <v>0</v>
      </c>
      <c r="G13" s="5"/>
      <c r="H13" s="5"/>
      <c r="I13" s="5"/>
      <c r="J13" s="5"/>
      <c r="K13" s="5"/>
    </row>
    <row r="14" spans="1:16" ht="21.75" customHeight="1">
      <c r="A14" s="5">
        <v>10</v>
      </c>
      <c r="B14" s="28"/>
      <c r="C14" s="28"/>
      <c r="D14" s="5"/>
      <c r="E14" s="28"/>
      <c r="F14" s="5">
        <f t="shared" si="0"/>
        <v>0</v>
      </c>
      <c r="G14" s="5"/>
      <c r="H14" s="5"/>
      <c r="I14" s="5"/>
      <c r="J14" s="5"/>
      <c r="K14" s="5"/>
    </row>
    <row r="15" spans="1:16" ht="21.75" customHeight="1">
      <c r="A15" s="5">
        <v>11</v>
      </c>
      <c r="B15" s="28"/>
      <c r="C15" s="28"/>
      <c r="D15" s="5"/>
      <c r="E15" s="28"/>
      <c r="F15" s="5">
        <f t="shared" si="0"/>
        <v>0</v>
      </c>
      <c r="G15" s="5"/>
      <c r="H15" s="5"/>
      <c r="I15" s="5"/>
      <c r="J15" s="5"/>
      <c r="K15" s="5"/>
    </row>
    <row r="16" spans="1:16" ht="21.75" customHeight="1">
      <c r="A16" s="5">
        <v>12</v>
      </c>
      <c r="B16" s="28"/>
      <c r="C16" s="28"/>
      <c r="D16" s="5"/>
      <c r="E16" s="28"/>
      <c r="F16" s="5">
        <f t="shared" si="0"/>
        <v>0</v>
      </c>
      <c r="G16" s="5"/>
      <c r="H16" s="5"/>
      <c r="I16" s="5"/>
      <c r="J16" s="5"/>
      <c r="K16" s="5"/>
    </row>
    <row r="17" spans="1:11" ht="21.75" customHeight="1">
      <c r="A17" s="5">
        <v>13</v>
      </c>
      <c r="B17" s="28"/>
      <c r="C17" s="28"/>
      <c r="D17" s="5"/>
      <c r="E17" s="28"/>
      <c r="F17" s="5">
        <f t="shared" si="0"/>
        <v>0</v>
      </c>
      <c r="G17" s="5"/>
      <c r="H17" s="5"/>
      <c r="I17" s="5"/>
      <c r="J17" s="5"/>
      <c r="K17" s="5"/>
    </row>
    <row r="18" spans="1:11" ht="21.75" customHeight="1">
      <c r="A18" s="5">
        <v>14</v>
      </c>
      <c r="B18" s="28"/>
      <c r="C18" s="28"/>
      <c r="D18" s="5"/>
      <c r="E18" s="28"/>
      <c r="F18" s="5">
        <f t="shared" si="0"/>
        <v>0</v>
      </c>
      <c r="G18" s="5"/>
      <c r="H18" s="5"/>
      <c r="I18" s="5"/>
      <c r="J18" s="5"/>
      <c r="K18" s="5"/>
    </row>
    <row r="19" spans="1:11" ht="21.75" customHeight="1">
      <c r="A19" s="5">
        <v>15</v>
      </c>
      <c r="B19" s="28"/>
      <c r="C19" s="28"/>
      <c r="D19" s="5"/>
      <c r="E19" s="28"/>
      <c r="F19" s="5">
        <f t="shared" si="0"/>
        <v>0</v>
      </c>
      <c r="G19" s="5"/>
      <c r="H19" s="5"/>
      <c r="I19" s="5"/>
      <c r="J19" s="5"/>
      <c r="K19" s="5"/>
    </row>
    <row r="20" spans="1:11" ht="21.75" customHeight="1">
      <c r="A20" s="5">
        <v>16</v>
      </c>
      <c r="B20" s="28"/>
      <c r="C20" s="28"/>
      <c r="D20" s="5"/>
      <c r="E20" s="28"/>
      <c r="F20" s="5">
        <f t="shared" si="0"/>
        <v>0</v>
      </c>
      <c r="G20" s="5"/>
      <c r="H20" s="5"/>
      <c r="I20" s="5"/>
      <c r="J20" s="5"/>
      <c r="K20" s="5"/>
    </row>
    <row r="21" spans="1:11" ht="21.75" customHeight="1">
      <c r="A21" s="5">
        <v>17</v>
      </c>
      <c r="B21" s="28"/>
      <c r="C21" s="28"/>
      <c r="D21" s="5"/>
      <c r="E21" s="28"/>
      <c r="F21" s="5">
        <f t="shared" si="0"/>
        <v>0</v>
      </c>
      <c r="G21" s="5"/>
      <c r="H21" s="5"/>
      <c r="I21" s="5"/>
      <c r="J21" s="5"/>
      <c r="K21" s="5"/>
    </row>
    <row r="22" spans="1:11" ht="21.75" customHeight="1">
      <c r="A22" s="5">
        <v>18</v>
      </c>
      <c r="B22" s="28"/>
      <c r="C22" s="28"/>
      <c r="D22" s="5"/>
      <c r="E22" s="28"/>
      <c r="F22" s="5">
        <f t="shared" si="0"/>
        <v>0</v>
      </c>
      <c r="G22" s="5"/>
      <c r="H22" s="5"/>
      <c r="I22" s="5"/>
      <c r="J22" s="5"/>
      <c r="K22" s="5"/>
    </row>
    <row r="23" spans="1:11" ht="21.75" customHeight="1">
      <c r="A23" s="5">
        <v>19</v>
      </c>
      <c r="B23" s="28"/>
      <c r="C23" s="28"/>
      <c r="D23" s="5"/>
      <c r="E23" s="28"/>
      <c r="F23" s="5">
        <f t="shared" si="0"/>
        <v>0</v>
      </c>
      <c r="G23" s="5"/>
      <c r="H23" s="5"/>
      <c r="I23" s="5"/>
      <c r="J23" s="5"/>
      <c r="K23" s="5"/>
    </row>
    <row r="24" spans="1:11" ht="21.75" customHeight="1">
      <c r="A24" s="5">
        <v>20</v>
      </c>
      <c r="B24" s="28"/>
      <c r="C24" s="28"/>
      <c r="D24" s="5"/>
      <c r="E24" s="28"/>
      <c r="F24" s="5">
        <f t="shared" si="0"/>
        <v>0</v>
      </c>
      <c r="G24" s="5"/>
      <c r="H24" s="5"/>
      <c r="I24" s="5"/>
      <c r="J24" s="5"/>
      <c r="K24" s="5"/>
    </row>
  </sheetData>
  <mergeCells count="3">
    <mergeCell ref="A1:K1"/>
    <mergeCell ref="I2:J2"/>
    <mergeCell ref="B3:F3"/>
  </mergeCells>
  <phoneticPr fontId="1"/>
  <pageMargins left="0.70866141732283472" right="0.70866141732283472" top="0.74803149606299213" bottom="0.74803149606299213" header="0.31496062992125984" footer="0.31496062992125984"/>
  <pageSetup paperSize="9" scale="8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商品一覧</vt:lpstr>
      <vt:lpstr>持出明細表</vt:lpstr>
      <vt:lpstr>在庫チェック表(発注担当者用)</vt:lpstr>
      <vt:lpstr>稟議書</vt:lpstr>
      <vt:lpstr>'在庫チェック表(発注担当者用)'!_FilterDatabase</vt:lpstr>
      <vt:lpstr>'在庫チェック表(発注担当者用)'!Print_Area</vt:lpstr>
      <vt:lpstr>稟議書!Print_Area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soumu03</dc:creator>
  <cp:lastModifiedBy>将満 丸尾</cp:lastModifiedBy>
  <cp:lastPrinted>2026-04-02T06:39:26Z</cp:lastPrinted>
  <dcterms:created xsi:type="dcterms:W3CDTF">2021-02-03T04:46:30Z</dcterms:created>
  <dcterms:modified xsi:type="dcterms:W3CDTF">2026-04-05T18:26:20Z</dcterms:modified>
</cp:coreProperties>
</file>